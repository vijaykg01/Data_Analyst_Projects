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d.docs.live.net/348343cac124c0fb/Documents/VIJAY K G/advance excel/"/>
    </mc:Choice>
  </mc:AlternateContent>
  <xr:revisionPtr revIDLastSave="298" documentId="8_{0349503E-9205-4B58-92C1-68F207ADF3E2}" xr6:coauthVersionLast="47" xr6:coauthVersionMax="47" xr10:uidLastSave="{1435F94D-2509-4F94-A2C3-ADBA6DD5BD32}"/>
  <bookViews>
    <workbookView xWindow="-110" yWindow="-110" windowWidth="19420" windowHeight="12220" activeTab="2" xr2:uid="{00000000-000D-0000-FFFF-FFFF00000000}"/>
  </bookViews>
  <sheets>
    <sheet name="Read_Me_First" sheetId="1" r:id="rId1"/>
    <sheet name="Sheet1" sheetId="4" r:id="rId2"/>
    <sheet name="Raw_Data" sheetId="2" r:id="rId3"/>
  </sheets>
  <definedNames>
    <definedName name="Slicer_Payment_Mode">#N/A</definedName>
    <definedName name="Slicer_Salesperson">#N/A</definedName>
  </definedNames>
  <calcPr calcId="191029"/>
  <pivotCaches>
    <pivotCache cacheId="9"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2" l="1"/>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D960" i="2"/>
  <c r="D959" i="2"/>
  <c r="D958" i="2"/>
  <c r="D957" i="2"/>
  <c r="D956" i="2"/>
  <c r="D955" i="2"/>
  <c r="D954" i="2"/>
  <c r="D953" i="2"/>
  <c r="D952" i="2"/>
  <c r="D951" i="2"/>
  <c r="D950" i="2"/>
  <c r="D949" i="2"/>
  <c r="D948" i="2"/>
  <c r="D947" i="2"/>
  <c r="D946" i="2"/>
  <c r="D945" i="2"/>
  <c r="D944" i="2"/>
  <c r="D943" i="2"/>
  <c r="D942" i="2"/>
  <c r="D941" i="2"/>
  <c r="D940" i="2"/>
  <c r="D939" i="2"/>
  <c r="D938" i="2"/>
  <c r="D937" i="2"/>
  <c r="D936" i="2"/>
  <c r="D935" i="2"/>
  <c r="D934" i="2"/>
  <c r="D933" i="2"/>
  <c r="D932" i="2"/>
  <c r="D931" i="2"/>
  <c r="D930" i="2"/>
  <c r="D929" i="2"/>
  <c r="D928" i="2"/>
  <c r="D927" i="2"/>
  <c r="D926" i="2"/>
  <c r="D925" i="2"/>
  <c r="D924" i="2"/>
  <c r="D923" i="2"/>
  <c r="D922" i="2"/>
  <c r="D921" i="2"/>
  <c r="D920" i="2"/>
  <c r="D919" i="2"/>
  <c r="D918" i="2"/>
  <c r="D917" i="2"/>
  <c r="D916" i="2"/>
  <c r="D915" i="2"/>
  <c r="D914" i="2"/>
  <c r="D913" i="2"/>
  <c r="D912" i="2"/>
  <c r="D911" i="2"/>
  <c r="D910" i="2"/>
  <c r="D909" i="2"/>
  <c r="D908" i="2"/>
  <c r="D907" i="2"/>
  <c r="D906" i="2"/>
  <c r="D905" i="2"/>
  <c r="D904" i="2"/>
  <c r="D903" i="2"/>
  <c r="D902" i="2"/>
  <c r="D901" i="2"/>
  <c r="D900" i="2"/>
  <c r="D899" i="2"/>
  <c r="D898" i="2"/>
  <c r="D897" i="2"/>
  <c r="D896" i="2"/>
  <c r="D895" i="2"/>
  <c r="D894" i="2"/>
  <c r="D893" i="2"/>
  <c r="D892" i="2"/>
  <c r="D891" i="2"/>
  <c r="D890" i="2"/>
  <c r="D889" i="2"/>
  <c r="D888" i="2"/>
  <c r="D887" i="2"/>
  <c r="D886" i="2"/>
  <c r="D885" i="2"/>
  <c r="D884" i="2"/>
  <c r="D883" i="2"/>
  <c r="D882" i="2"/>
  <c r="D881" i="2"/>
  <c r="D880" i="2"/>
  <c r="D879" i="2"/>
  <c r="D878" i="2"/>
  <c r="D877" i="2"/>
  <c r="D876" i="2"/>
  <c r="D875" i="2"/>
  <c r="D874" i="2"/>
  <c r="D873" i="2"/>
  <c r="D872" i="2"/>
  <c r="D871" i="2"/>
  <c r="D870" i="2"/>
  <c r="D869" i="2"/>
  <c r="D868" i="2"/>
  <c r="D867" i="2"/>
  <c r="D866" i="2"/>
  <c r="D865" i="2"/>
  <c r="D864" i="2"/>
  <c r="D863" i="2"/>
  <c r="D862" i="2"/>
  <c r="D861" i="2"/>
  <c r="D860" i="2"/>
  <c r="D859" i="2"/>
  <c r="D858" i="2"/>
  <c r="D857" i="2"/>
  <c r="D856" i="2"/>
  <c r="D855" i="2"/>
  <c r="D854" i="2"/>
  <c r="D853" i="2"/>
  <c r="D852" i="2"/>
  <c r="D851" i="2"/>
  <c r="D850" i="2"/>
  <c r="D849" i="2"/>
  <c r="D848" i="2"/>
  <c r="D847" i="2"/>
  <c r="D846" i="2"/>
  <c r="D845" i="2"/>
  <c r="D844" i="2"/>
  <c r="D843" i="2"/>
  <c r="D842" i="2"/>
  <c r="D841" i="2"/>
  <c r="D840" i="2"/>
  <c r="D839" i="2"/>
  <c r="D838" i="2"/>
  <c r="D837" i="2"/>
  <c r="D836" i="2"/>
  <c r="D835" i="2"/>
  <c r="D834" i="2"/>
  <c r="D833" i="2"/>
  <c r="D832" i="2"/>
  <c r="D831" i="2"/>
  <c r="D830" i="2"/>
  <c r="D829" i="2"/>
  <c r="D828" i="2"/>
  <c r="D827" i="2"/>
  <c r="D826" i="2"/>
  <c r="D825" i="2"/>
  <c r="D824" i="2"/>
  <c r="D823" i="2"/>
  <c r="D822" i="2"/>
  <c r="D821" i="2"/>
  <c r="D820" i="2"/>
  <c r="D819" i="2"/>
  <c r="D818" i="2"/>
  <c r="D817" i="2"/>
  <c r="D816" i="2"/>
  <c r="D815" i="2"/>
  <c r="D814" i="2"/>
  <c r="D813" i="2"/>
  <c r="D812" i="2"/>
  <c r="D811" i="2"/>
  <c r="D810" i="2"/>
  <c r="D809" i="2"/>
  <c r="D808" i="2"/>
  <c r="D807" i="2"/>
  <c r="D806" i="2"/>
  <c r="D805" i="2"/>
  <c r="D804" i="2"/>
  <c r="D803" i="2"/>
  <c r="D802" i="2"/>
  <c r="D801" i="2"/>
  <c r="D800" i="2"/>
  <c r="D799" i="2"/>
  <c r="D798" i="2"/>
  <c r="D797" i="2"/>
  <c r="D796" i="2"/>
  <c r="D795" i="2"/>
  <c r="D794" i="2"/>
  <c r="D793" i="2"/>
  <c r="D792" i="2"/>
  <c r="D791" i="2"/>
  <c r="D790" i="2"/>
  <c r="D789" i="2"/>
  <c r="D788" i="2"/>
  <c r="D787" i="2"/>
  <c r="D786" i="2"/>
  <c r="D785" i="2"/>
  <c r="D784" i="2"/>
  <c r="D783" i="2"/>
  <c r="D782" i="2"/>
  <c r="D781" i="2"/>
  <c r="D780" i="2"/>
  <c r="D779" i="2"/>
  <c r="D778" i="2"/>
  <c r="D777" i="2"/>
  <c r="D776" i="2"/>
  <c r="D775" i="2"/>
  <c r="D774" i="2"/>
  <c r="D773" i="2"/>
  <c r="D772" i="2"/>
  <c r="D771" i="2"/>
  <c r="D770" i="2"/>
  <c r="D769" i="2"/>
  <c r="D768" i="2"/>
  <c r="D767" i="2"/>
  <c r="D766" i="2"/>
  <c r="D765" i="2"/>
  <c r="D764" i="2"/>
  <c r="D763" i="2"/>
  <c r="D762" i="2"/>
  <c r="D761" i="2"/>
  <c r="D760" i="2"/>
  <c r="D759" i="2"/>
  <c r="D758" i="2"/>
  <c r="D757" i="2"/>
  <c r="D756" i="2"/>
  <c r="D755" i="2"/>
  <c r="D754" i="2"/>
  <c r="D753" i="2"/>
  <c r="D752" i="2"/>
  <c r="D751" i="2"/>
  <c r="D750" i="2"/>
  <c r="D749" i="2"/>
  <c r="D748" i="2"/>
  <c r="D747" i="2"/>
  <c r="D746" i="2"/>
  <c r="D745" i="2"/>
  <c r="D744" i="2"/>
  <c r="D743" i="2"/>
  <c r="D742" i="2"/>
  <c r="D741" i="2"/>
  <c r="D740" i="2"/>
  <c r="D739" i="2"/>
  <c r="D738" i="2"/>
  <c r="D737" i="2"/>
  <c r="D736" i="2"/>
  <c r="D735" i="2"/>
  <c r="D734" i="2"/>
  <c r="D733" i="2"/>
  <c r="D732" i="2"/>
  <c r="D731" i="2"/>
  <c r="D730" i="2"/>
  <c r="D729" i="2"/>
  <c r="D728" i="2"/>
  <c r="D727" i="2"/>
  <c r="D726" i="2"/>
  <c r="D725" i="2"/>
  <c r="D724" i="2"/>
  <c r="D723" i="2"/>
  <c r="D722" i="2"/>
  <c r="D721" i="2"/>
  <c r="D720" i="2"/>
  <c r="D719" i="2"/>
  <c r="D718" i="2"/>
  <c r="D717" i="2"/>
  <c r="D716" i="2"/>
  <c r="D715" i="2"/>
  <c r="D714" i="2"/>
  <c r="D713" i="2"/>
  <c r="D712" i="2"/>
  <c r="D711" i="2"/>
  <c r="D710" i="2"/>
  <c r="D709" i="2"/>
  <c r="D708" i="2"/>
  <c r="D707" i="2"/>
  <c r="D706" i="2"/>
  <c r="D705" i="2"/>
  <c r="D704" i="2"/>
  <c r="D703" i="2"/>
  <c r="D702" i="2"/>
  <c r="D701" i="2"/>
  <c r="D700" i="2"/>
  <c r="D699" i="2"/>
  <c r="D698" i="2"/>
  <c r="D697" i="2"/>
  <c r="D696" i="2"/>
  <c r="D695" i="2"/>
  <c r="D694" i="2"/>
  <c r="D693" i="2"/>
  <c r="D692" i="2"/>
  <c r="D691" i="2"/>
  <c r="D690" i="2"/>
  <c r="D689" i="2"/>
  <c r="D688" i="2"/>
  <c r="D687" i="2"/>
  <c r="D686" i="2"/>
  <c r="D685" i="2"/>
  <c r="D684" i="2"/>
  <c r="D683" i="2"/>
  <c r="D682" i="2"/>
  <c r="D681" i="2"/>
  <c r="D680" i="2"/>
  <c r="D679" i="2"/>
  <c r="D678" i="2"/>
  <c r="D677" i="2"/>
  <c r="D676" i="2"/>
  <c r="D675" i="2"/>
  <c r="D674" i="2"/>
  <c r="D673" i="2"/>
  <c r="D672" i="2"/>
  <c r="D671" i="2"/>
  <c r="D670" i="2"/>
  <c r="D669" i="2"/>
  <c r="D668" i="2"/>
  <c r="D667" i="2"/>
  <c r="D666" i="2"/>
  <c r="D665" i="2"/>
  <c r="D664" i="2"/>
  <c r="D663" i="2"/>
  <c r="D662" i="2"/>
  <c r="D661" i="2"/>
  <c r="D660" i="2"/>
  <c r="D659" i="2"/>
  <c r="D658" i="2"/>
  <c r="D657" i="2"/>
  <c r="D656" i="2"/>
  <c r="D655" i="2"/>
  <c r="D654" i="2"/>
  <c r="D653" i="2"/>
  <c r="D652" i="2"/>
  <c r="D651" i="2"/>
  <c r="D650" i="2"/>
  <c r="D649" i="2"/>
  <c r="D648" i="2"/>
  <c r="D647" i="2"/>
  <c r="D646" i="2"/>
  <c r="D645" i="2"/>
  <c r="D644" i="2"/>
  <c r="D643" i="2"/>
  <c r="D642" i="2"/>
  <c r="D641" i="2"/>
  <c r="D640" i="2"/>
  <c r="D639" i="2"/>
  <c r="D638" i="2"/>
  <c r="D637" i="2"/>
  <c r="D636" i="2"/>
  <c r="D635" i="2"/>
  <c r="D634" i="2"/>
  <c r="D633" i="2"/>
  <c r="D632" i="2"/>
  <c r="D631" i="2"/>
  <c r="D630" i="2"/>
  <c r="D629" i="2"/>
  <c r="D628" i="2"/>
  <c r="D627" i="2"/>
  <c r="D626" i="2"/>
  <c r="D625" i="2"/>
  <c r="D624" i="2"/>
  <c r="D623" i="2"/>
  <c r="D622" i="2"/>
  <c r="D621" i="2"/>
  <c r="D620" i="2"/>
  <c r="D619" i="2"/>
  <c r="D618" i="2"/>
  <c r="D617" i="2"/>
  <c r="D616" i="2"/>
  <c r="D615" i="2"/>
  <c r="D614" i="2"/>
  <c r="D613" i="2"/>
  <c r="D612" i="2"/>
  <c r="D611" i="2"/>
  <c r="D610" i="2"/>
  <c r="D609" i="2"/>
  <c r="D608" i="2"/>
  <c r="D607" i="2"/>
  <c r="D606" i="2"/>
  <c r="D605" i="2"/>
  <c r="D604" i="2"/>
  <c r="D603" i="2"/>
  <c r="D602" i="2"/>
  <c r="D601" i="2"/>
  <c r="D600" i="2"/>
  <c r="D599" i="2"/>
  <c r="D598" i="2"/>
  <c r="D597" i="2"/>
  <c r="D596" i="2"/>
  <c r="D595" i="2"/>
  <c r="D594" i="2"/>
  <c r="D593" i="2"/>
  <c r="D592" i="2"/>
  <c r="D591" i="2"/>
  <c r="D590" i="2"/>
  <c r="D589" i="2"/>
  <c r="D588" i="2"/>
  <c r="D587" i="2"/>
  <c r="D586" i="2"/>
  <c r="D585" i="2"/>
  <c r="D584" i="2"/>
  <c r="D583" i="2"/>
  <c r="D582" i="2"/>
  <c r="D581" i="2"/>
  <c r="D580" i="2"/>
  <c r="D579" i="2"/>
  <c r="D578" i="2"/>
  <c r="D577" i="2"/>
  <c r="D576" i="2"/>
  <c r="D575" i="2"/>
  <c r="D574" i="2"/>
  <c r="D573" i="2"/>
  <c r="D572" i="2"/>
  <c r="D571" i="2"/>
  <c r="D570" i="2"/>
  <c r="D569" i="2"/>
  <c r="D568" i="2"/>
  <c r="D567" i="2"/>
  <c r="D566" i="2"/>
  <c r="D565" i="2"/>
  <c r="D564" i="2"/>
  <c r="D563" i="2"/>
  <c r="D562" i="2"/>
  <c r="D561" i="2"/>
  <c r="D560" i="2"/>
  <c r="D559" i="2"/>
  <c r="D558" i="2"/>
  <c r="D557" i="2"/>
  <c r="D556" i="2"/>
  <c r="D555" i="2"/>
  <c r="D554" i="2"/>
  <c r="D553" i="2"/>
  <c r="D552" i="2"/>
  <c r="D551" i="2"/>
  <c r="D550" i="2"/>
  <c r="D549" i="2"/>
  <c r="D548" i="2"/>
  <c r="D547" i="2"/>
  <c r="D546" i="2"/>
  <c r="D545" i="2"/>
  <c r="D544" i="2"/>
  <c r="D543" i="2"/>
  <c r="D542" i="2"/>
  <c r="D541" i="2"/>
  <c r="D540" i="2"/>
  <c r="D539" i="2"/>
  <c r="D538" i="2"/>
  <c r="D537" i="2"/>
  <c r="D536" i="2"/>
  <c r="D535" i="2"/>
  <c r="D534" i="2"/>
  <c r="D533" i="2"/>
  <c r="D532" i="2"/>
  <c r="D531" i="2"/>
  <c r="D530" i="2"/>
  <c r="D529" i="2"/>
  <c r="D528" i="2"/>
  <c r="D527" i="2"/>
  <c r="D526" i="2"/>
  <c r="D525" i="2"/>
  <c r="D524" i="2"/>
  <c r="D523" i="2"/>
  <c r="D522" i="2"/>
  <c r="D521" i="2"/>
  <c r="D520" i="2"/>
  <c r="D519" i="2"/>
  <c r="D518" i="2"/>
  <c r="D517" i="2"/>
  <c r="D516" i="2"/>
  <c r="D515" i="2"/>
  <c r="D514" i="2"/>
  <c r="D513" i="2"/>
  <c r="D512" i="2"/>
  <c r="D511" i="2"/>
  <c r="D510" i="2"/>
  <c r="D509" i="2"/>
  <c r="D508" i="2"/>
  <c r="D507" i="2"/>
  <c r="D506" i="2"/>
  <c r="D505" i="2"/>
  <c r="D504" i="2"/>
  <c r="D503" i="2"/>
  <c r="D502" i="2"/>
  <c r="D501" i="2"/>
  <c r="D500" i="2"/>
  <c r="D499" i="2"/>
  <c r="D498" i="2"/>
  <c r="D497" i="2"/>
  <c r="D496" i="2"/>
  <c r="D495" i="2"/>
  <c r="D494" i="2"/>
  <c r="D493" i="2"/>
  <c r="D492" i="2"/>
  <c r="D491" i="2"/>
  <c r="D490" i="2"/>
  <c r="D489" i="2"/>
  <c r="D488" i="2"/>
  <c r="D487" i="2"/>
  <c r="D486" i="2"/>
  <c r="D485" i="2"/>
  <c r="D484" i="2"/>
  <c r="D483" i="2"/>
  <c r="D482" i="2"/>
  <c r="D481" i="2"/>
  <c r="D480" i="2"/>
  <c r="D479" i="2"/>
  <c r="D478" i="2"/>
  <c r="D477" i="2"/>
  <c r="D476" i="2"/>
  <c r="D475" i="2"/>
  <c r="D474" i="2"/>
  <c r="D473" i="2"/>
  <c r="D472" i="2"/>
  <c r="D471" i="2"/>
  <c r="D470" i="2"/>
  <c r="D469" i="2"/>
  <c r="D468" i="2"/>
  <c r="D467" i="2"/>
  <c r="D466" i="2"/>
  <c r="D465" i="2"/>
  <c r="D464" i="2"/>
  <c r="D463" i="2"/>
  <c r="D462" i="2"/>
  <c r="D461" i="2"/>
  <c r="D460" i="2"/>
  <c r="D459" i="2"/>
  <c r="D458" i="2"/>
  <c r="D457" i="2"/>
  <c r="D456" i="2"/>
  <c r="D455" i="2"/>
  <c r="D454" i="2"/>
  <c r="D453" i="2"/>
  <c r="D452" i="2"/>
  <c r="D451" i="2"/>
  <c r="D450" i="2"/>
  <c r="D449" i="2"/>
  <c r="D448" i="2"/>
  <c r="D447" i="2"/>
  <c r="D446" i="2"/>
  <c r="D445" i="2"/>
  <c r="D444" i="2"/>
  <c r="D443" i="2"/>
  <c r="D442" i="2"/>
  <c r="D441" i="2"/>
  <c r="D440" i="2"/>
  <c r="D439" i="2"/>
  <c r="D438" i="2"/>
  <c r="D437" i="2"/>
  <c r="D436" i="2"/>
  <c r="D435" i="2"/>
  <c r="D434" i="2"/>
  <c r="D433" i="2"/>
  <c r="D432" i="2"/>
  <c r="D431" i="2"/>
  <c r="D430" i="2"/>
  <c r="D429" i="2"/>
  <c r="D428" i="2"/>
  <c r="D427" i="2"/>
  <c r="D426" i="2"/>
  <c r="D425" i="2"/>
  <c r="D424" i="2"/>
  <c r="D423" i="2"/>
  <c r="D422" i="2"/>
  <c r="D421" i="2"/>
  <c r="D420" i="2"/>
  <c r="D419" i="2"/>
  <c r="D418" i="2"/>
  <c r="D417" i="2"/>
  <c r="D416" i="2"/>
  <c r="D415" i="2"/>
  <c r="D414" i="2"/>
  <c r="D413" i="2"/>
  <c r="D412" i="2"/>
  <c r="D411" i="2"/>
  <c r="D410" i="2"/>
  <c r="D409" i="2"/>
  <c r="D408" i="2"/>
  <c r="D407" i="2"/>
  <c r="D406" i="2"/>
  <c r="D405" i="2"/>
  <c r="D404" i="2"/>
  <c r="D403" i="2"/>
  <c r="D402" i="2"/>
  <c r="D401" i="2"/>
  <c r="D400" i="2"/>
  <c r="D399" i="2"/>
  <c r="D398" i="2"/>
  <c r="D397" i="2"/>
  <c r="D396" i="2"/>
  <c r="D395" i="2"/>
  <c r="D394" i="2"/>
  <c r="D393" i="2"/>
  <c r="D392" i="2"/>
  <c r="D391" i="2"/>
  <c r="D390" i="2"/>
  <c r="D389" i="2"/>
  <c r="D388" i="2"/>
  <c r="D387" i="2"/>
  <c r="D386" i="2"/>
  <c r="D385" i="2"/>
  <c r="D384" i="2"/>
  <c r="D383" i="2"/>
  <c r="D382" i="2"/>
  <c r="D381" i="2"/>
  <c r="D380" i="2"/>
  <c r="D379" i="2"/>
  <c r="D378" i="2"/>
  <c r="D377" i="2"/>
  <c r="D376" i="2"/>
  <c r="D375" i="2"/>
  <c r="D374" i="2"/>
  <c r="D373" i="2"/>
  <c r="D372" i="2"/>
  <c r="D371" i="2"/>
  <c r="D370" i="2"/>
  <c r="D369" i="2"/>
  <c r="D368" i="2"/>
  <c r="D367" i="2"/>
  <c r="D366" i="2"/>
  <c r="D365" i="2"/>
  <c r="D364" i="2"/>
  <c r="D363" i="2"/>
  <c r="D362" i="2"/>
  <c r="D361" i="2"/>
  <c r="D360" i="2"/>
  <c r="D359" i="2"/>
  <c r="D358" i="2"/>
  <c r="D357" i="2"/>
  <c r="D356" i="2"/>
  <c r="D355" i="2"/>
  <c r="D354" i="2"/>
  <c r="D353" i="2"/>
  <c r="D352" i="2"/>
  <c r="D351" i="2"/>
  <c r="D350" i="2"/>
  <c r="D349" i="2"/>
  <c r="D348" i="2"/>
  <c r="D347" i="2"/>
  <c r="D346" i="2"/>
  <c r="D345" i="2"/>
  <c r="D344" i="2"/>
  <c r="D343" i="2"/>
  <c r="D342" i="2"/>
  <c r="D341" i="2"/>
  <c r="D340" i="2"/>
  <c r="D339" i="2"/>
  <c r="D338" i="2"/>
  <c r="D337" i="2"/>
  <c r="D336" i="2"/>
  <c r="D335" i="2"/>
  <c r="D334" i="2"/>
  <c r="D333" i="2"/>
  <c r="D332" i="2"/>
  <c r="D331" i="2"/>
  <c r="D330" i="2"/>
  <c r="D329" i="2"/>
  <c r="D328" i="2"/>
  <c r="D327" i="2"/>
  <c r="D326" i="2"/>
  <c r="D325" i="2"/>
  <c r="D324" i="2"/>
  <c r="D323" i="2"/>
  <c r="D322" i="2"/>
  <c r="D321" i="2"/>
  <c r="D320" i="2"/>
  <c r="D319" i="2"/>
  <c r="D318" i="2"/>
  <c r="D317" i="2"/>
  <c r="D316" i="2"/>
  <c r="D315" i="2"/>
  <c r="D314" i="2"/>
  <c r="D313" i="2"/>
  <c r="D312" i="2"/>
  <c r="D311" i="2"/>
  <c r="D310" i="2"/>
  <c r="D309" i="2"/>
  <c r="D308" i="2"/>
  <c r="D307" i="2"/>
  <c r="D306" i="2"/>
  <c r="D305" i="2"/>
  <c r="D304" i="2"/>
  <c r="D303" i="2"/>
  <c r="D302" i="2"/>
  <c r="D301" i="2"/>
  <c r="D300" i="2"/>
  <c r="D299" i="2"/>
  <c r="D298" i="2"/>
  <c r="D297" i="2"/>
  <c r="D296" i="2"/>
  <c r="D295" i="2"/>
  <c r="D294" i="2"/>
  <c r="D293" i="2"/>
  <c r="D292" i="2"/>
  <c r="D291" i="2"/>
  <c r="D290" i="2"/>
  <c r="D289" i="2"/>
  <c r="D288" i="2"/>
  <c r="D287" i="2"/>
  <c r="D286" i="2"/>
  <c r="D285" i="2"/>
  <c r="D284" i="2"/>
  <c r="D283" i="2"/>
  <c r="D282" i="2"/>
  <c r="D281" i="2"/>
  <c r="D280" i="2"/>
  <c r="D279" i="2"/>
  <c r="D278" i="2"/>
  <c r="D277" i="2"/>
  <c r="D276" i="2"/>
  <c r="D275" i="2"/>
  <c r="D274" i="2"/>
  <c r="D273" i="2"/>
  <c r="D272" i="2"/>
  <c r="D271" i="2"/>
  <c r="D270" i="2"/>
  <c r="D269" i="2"/>
  <c r="D268" i="2"/>
  <c r="D267" i="2"/>
  <c r="D266" i="2"/>
  <c r="D265" i="2"/>
  <c r="D264" i="2"/>
  <c r="D263" i="2"/>
  <c r="D262" i="2"/>
  <c r="D261" i="2"/>
  <c r="D260" i="2"/>
  <c r="D259" i="2"/>
  <c r="D258" i="2"/>
  <c r="D257" i="2"/>
  <c r="D256" i="2"/>
  <c r="D255" i="2"/>
  <c r="D254" i="2"/>
  <c r="D253" i="2"/>
  <c r="D252" i="2"/>
  <c r="D251" i="2"/>
  <c r="D250" i="2"/>
  <c r="D249" i="2"/>
  <c r="D248" i="2"/>
  <c r="D247" i="2"/>
  <c r="D246" i="2"/>
  <c r="D245" i="2"/>
  <c r="D244" i="2"/>
  <c r="D243" i="2"/>
  <c r="D242" i="2"/>
  <c r="D241" i="2"/>
  <c r="D240" i="2"/>
  <c r="D239" i="2"/>
  <c r="D238" i="2"/>
  <c r="D237" i="2"/>
  <c r="D236" i="2"/>
  <c r="D235" i="2"/>
  <c r="D23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D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alcChain>
</file>

<file path=xl/sharedStrings.xml><?xml version="1.0" encoding="utf-8"?>
<sst xmlns="http://schemas.openxmlformats.org/spreadsheetml/2006/main" count="8713" uniqueCount="2289">
  <si>
    <t>REAL COMPANY EXCEL PRACTICE PROJECT</t>
  </si>
  <si>
    <t>Scenario:</t>
  </si>
  <si>
    <t>You are working as a Data Analyst in a retail company.</t>
  </si>
  <si>
    <t>Manager asked you to clean data, analyze sales, and build a dashboard.</t>
  </si>
  <si>
    <t>Your Work Tasks:</t>
  </si>
  <si>
    <t>1. Understand the data</t>
  </si>
  <si>
    <t>2. Clean the data</t>
  </si>
  <si>
    <t>3. Remove duplicates</t>
  </si>
  <si>
    <t>4. Handle blank values</t>
  </si>
  <si>
    <t>5. Create Month and Year columns</t>
  </si>
  <si>
    <t>6. Create Pivot Tables</t>
  </si>
  <si>
    <t>7. Create KPI Cards</t>
  </si>
  <si>
    <t>8. Build Charts</t>
  </si>
  <si>
    <t>9. Add Slicers</t>
  </si>
  <si>
    <t>10. Create Dashboard</t>
  </si>
  <si>
    <t>KPIs To Build:</t>
  </si>
  <si>
    <t>- Total Sales</t>
  </si>
  <si>
    <t>- Total Profit</t>
  </si>
  <si>
    <t>- Total Orders</t>
  </si>
  <si>
    <t>- Best Region</t>
  </si>
  <si>
    <t>- Top Product</t>
  </si>
  <si>
    <t>Charts To Build:</t>
  </si>
  <si>
    <t>- Monthly Sales Trend</t>
  </si>
  <si>
    <t>- Region-wise Sales</t>
  </si>
  <si>
    <t>- Category Performance</t>
  </si>
  <si>
    <t>- Top Products</t>
  </si>
  <si>
    <t>Important Company Rules:</t>
  </si>
  <si>
    <t>- Never edit raw data directly</t>
  </si>
  <si>
    <t>- Create separate sheets</t>
  </si>
  <si>
    <t>- Keep dashboard simple</t>
  </si>
  <si>
    <t>- Verify formulas before submitting</t>
  </si>
  <si>
    <t>Order_ID</t>
  </si>
  <si>
    <t>Order_Date</t>
  </si>
  <si>
    <t>Region</t>
  </si>
  <si>
    <t>City</t>
  </si>
  <si>
    <t>Salesperson</t>
  </si>
  <si>
    <t>Customer_Name</t>
  </si>
  <si>
    <t>Product</t>
  </si>
  <si>
    <t>Category</t>
  </si>
  <si>
    <t>Units_Sold</t>
  </si>
  <si>
    <t>Sales_Amount</t>
  </si>
  <si>
    <t>Cost_Amount</t>
  </si>
  <si>
    <t>Profit</t>
  </si>
  <si>
    <t>Payment_Mode</t>
  </si>
  <si>
    <t>ORD00001</t>
  </si>
  <si>
    <t>2025-07-04</t>
  </si>
  <si>
    <t>East</t>
  </si>
  <si>
    <t>Kolkata</t>
  </si>
  <si>
    <t>Amit</t>
  </si>
  <si>
    <t>Customer_7901</t>
  </si>
  <si>
    <t>Tablet</t>
  </si>
  <si>
    <t>Electronics</t>
  </si>
  <si>
    <t>UPI</t>
  </si>
  <si>
    <t>ORD00002</t>
  </si>
  <si>
    <t>2025-12-26</t>
  </si>
  <si>
    <t>West</t>
  </si>
  <si>
    <t>Mumbai</t>
  </si>
  <si>
    <t>Rahul</t>
  </si>
  <si>
    <t>Customer_4822</t>
  </si>
  <si>
    <t>Monitor</t>
  </si>
  <si>
    <t>Net Banking</t>
  </si>
  <si>
    <t>ORD00003</t>
  </si>
  <si>
    <t>2025-03-06</t>
  </si>
  <si>
    <t>North</t>
  </si>
  <si>
    <t>Chandigarh</t>
  </si>
  <si>
    <t>Neha</t>
  </si>
  <si>
    <t>Customer_5585</t>
  </si>
  <si>
    <t>Laptop</t>
  </si>
  <si>
    <t>ORD00004</t>
  </si>
  <si>
    <t>2025-02-16</t>
  </si>
  <si>
    <t>Vijay</t>
  </si>
  <si>
    <t>Customer_5931</t>
  </si>
  <si>
    <t>ORD00005</t>
  </si>
  <si>
    <t>2025-02-13</t>
  </si>
  <si>
    <t>Bhubaneswar</t>
  </si>
  <si>
    <t>Customer_8955</t>
  </si>
  <si>
    <t>Desk Chair</t>
  </si>
  <si>
    <t>Furniture</t>
  </si>
  <si>
    <t>ORD00006</t>
  </si>
  <si>
    <t>2025-05-08</t>
  </si>
  <si>
    <t>Kiran</t>
  </si>
  <si>
    <t>Customer_7793</t>
  </si>
  <si>
    <t>Mouse</t>
  </si>
  <si>
    <t>Accessories</t>
  </si>
  <si>
    <t>ORD00007</t>
  </si>
  <si>
    <t>2025-02-12</t>
  </si>
  <si>
    <t>Customer_5045</t>
  </si>
  <si>
    <t>Router</t>
  </si>
  <si>
    <t>Networking</t>
  </si>
  <si>
    <t>ORD00008</t>
  </si>
  <si>
    <t>2025-12-22</t>
  </si>
  <si>
    <t>Customer_8542</t>
  </si>
  <si>
    <t>ORD00009</t>
  </si>
  <si>
    <t>2025-03-31</t>
  </si>
  <si>
    <t>Customer_4229</t>
  </si>
  <si>
    <t>ORD00010</t>
  </si>
  <si>
    <t>2025-03-04</t>
  </si>
  <si>
    <t>Customer_7002</t>
  </si>
  <si>
    <t>Cash</t>
  </si>
  <si>
    <t>ORD00011</t>
  </si>
  <si>
    <t>2025-07-29</t>
  </si>
  <si>
    <t>Customer_7236</t>
  </si>
  <si>
    <t>ORD00012</t>
  </si>
  <si>
    <t>2025-01-22</t>
  </si>
  <si>
    <t>Delhi</t>
  </si>
  <si>
    <t>Customer_5853</t>
  </si>
  <si>
    <t>ORD00013</t>
  </si>
  <si>
    <t>2025-09-20</t>
  </si>
  <si>
    <t>Customer_5456</t>
  </si>
  <si>
    <t>ORD00014</t>
  </si>
  <si>
    <t>2025-10-03</t>
  </si>
  <si>
    <t>South</t>
  </si>
  <si>
    <t>Chennai</t>
  </si>
  <si>
    <t>Customer_5532</t>
  </si>
  <si>
    <t>ORD00015</t>
  </si>
  <si>
    <t>2025-03-09</t>
  </si>
  <si>
    <t>Sneha</t>
  </si>
  <si>
    <t>Customer_7700</t>
  </si>
  <si>
    <t>ORD00016</t>
  </si>
  <si>
    <t>2025-03-11</t>
  </si>
  <si>
    <t>Customer_2697</t>
  </si>
  <si>
    <t>Card</t>
  </si>
  <si>
    <t>ORD00017</t>
  </si>
  <si>
    <t>2025-07-07</t>
  </si>
  <si>
    <t>Customer_9817</t>
  </si>
  <si>
    <t>Keyboard</t>
  </si>
  <si>
    <t>ORD00018</t>
  </si>
  <si>
    <t>2025-04-04</t>
  </si>
  <si>
    <t>Priya</t>
  </si>
  <si>
    <t>Customer_3583</t>
  </si>
  <si>
    <t>ORD00019</t>
  </si>
  <si>
    <t>2025-05-07</t>
  </si>
  <si>
    <t>Customer_9697</t>
  </si>
  <si>
    <t>ORD00020</t>
  </si>
  <si>
    <t>2025-06-16</t>
  </si>
  <si>
    <t>Customer_9544</t>
  </si>
  <si>
    <t>ORD00021</t>
  </si>
  <si>
    <t>2025-07-05</t>
  </si>
  <si>
    <t>Arjun</t>
  </si>
  <si>
    <t>Customer_8457</t>
  </si>
  <si>
    <t>ORD00022</t>
  </si>
  <si>
    <t>2025-09-24</t>
  </si>
  <si>
    <t>Customer_5626</t>
  </si>
  <si>
    <t>Speaker</t>
  </si>
  <si>
    <t>ORD00023</t>
  </si>
  <si>
    <t>2025-08-09</t>
  </si>
  <si>
    <t>Customer_7757</t>
  </si>
  <si>
    <t>ORD00024</t>
  </si>
  <si>
    <t>2025-02-27</t>
  </si>
  <si>
    <t>Customer_7573</t>
  </si>
  <si>
    <t>ORD00025</t>
  </si>
  <si>
    <t>2025-05-05</t>
  </si>
  <si>
    <t>Customer_5188</t>
  </si>
  <si>
    <t>ORD00026</t>
  </si>
  <si>
    <t>2025-12-09</t>
  </si>
  <si>
    <t>Customer_1159</t>
  </si>
  <si>
    <t>Printer</t>
  </si>
  <si>
    <t>Office</t>
  </si>
  <si>
    <t>ORD00027</t>
  </si>
  <si>
    <t>2025-07-17</t>
  </si>
  <si>
    <t>Customer_6285</t>
  </si>
  <si>
    <t>ORD00028</t>
  </si>
  <si>
    <t>2025-10-28</t>
  </si>
  <si>
    <t>Customer_3215</t>
  </si>
  <si>
    <t>ORD00029</t>
  </si>
  <si>
    <t>2025-03-15</t>
  </si>
  <si>
    <t>Customer_9516</t>
  </si>
  <si>
    <t>ORD00030</t>
  </si>
  <si>
    <t>2025-07-24</t>
  </si>
  <si>
    <t>Bangalore</t>
  </si>
  <si>
    <t>Customer_7096</t>
  </si>
  <si>
    <t>ORD00031</t>
  </si>
  <si>
    <t>2025-06-01</t>
  </si>
  <si>
    <t>Customer_7809</t>
  </si>
  <si>
    <t>ORD00032</t>
  </si>
  <si>
    <t>2025-01-01</t>
  </si>
  <si>
    <t>Customer_4126</t>
  </si>
  <si>
    <t>2025-11-26</t>
  </si>
  <si>
    <t>ORD00034</t>
  </si>
  <si>
    <t>2025-05-01</t>
  </si>
  <si>
    <t>Customer_1569</t>
  </si>
  <si>
    <t>ORD00035</t>
  </si>
  <si>
    <t>2025-11-16</t>
  </si>
  <si>
    <t>Customer_6321</t>
  </si>
  <si>
    <t>ORD00036</t>
  </si>
  <si>
    <t>Customer_4921</t>
  </si>
  <si>
    <t>ORD00037</t>
  </si>
  <si>
    <t>2025-04-16</t>
  </si>
  <si>
    <t>Pune</t>
  </si>
  <si>
    <t>Customer_8307</t>
  </si>
  <si>
    <t>ORD00038</t>
  </si>
  <si>
    <t>2025-10-01</t>
  </si>
  <si>
    <t>Customer_1720</t>
  </si>
  <si>
    <t>ORD00039</t>
  </si>
  <si>
    <t>2025-06-21</t>
  </si>
  <si>
    <t>Customer_3648</t>
  </si>
  <si>
    <t>ORD00040</t>
  </si>
  <si>
    <t>2025-09-16</t>
  </si>
  <si>
    <t>Customer_8196</t>
  </si>
  <si>
    <t>ORD00041</t>
  </si>
  <si>
    <t>2025-11-14</t>
  </si>
  <si>
    <t>Customer_2205</t>
  </si>
  <si>
    <t>ORD00042</t>
  </si>
  <si>
    <t>2025-09-17</t>
  </si>
  <si>
    <t>Customer_7843</t>
  </si>
  <si>
    <t>ORD00043</t>
  </si>
  <si>
    <t>2025-01-23</t>
  </si>
  <si>
    <t>Customer_4386</t>
  </si>
  <si>
    <t>ORD00044</t>
  </si>
  <si>
    <t>2025-09-10</t>
  </si>
  <si>
    <t>Customer_5629</t>
  </si>
  <si>
    <t>ORD00045</t>
  </si>
  <si>
    <t>2025-02-03</t>
  </si>
  <si>
    <t>Customer_3632</t>
  </si>
  <si>
    <t>ORD00046</t>
  </si>
  <si>
    <t>Customer_6337</t>
  </si>
  <si>
    <t>ORD00047</t>
  </si>
  <si>
    <t>2025-08-04</t>
  </si>
  <si>
    <t>Customer_8654</t>
  </si>
  <si>
    <t>ORD00048</t>
  </si>
  <si>
    <t>2025-05-02</t>
  </si>
  <si>
    <t>Customer_5739</t>
  </si>
  <si>
    <t>ORD00049</t>
  </si>
  <si>
    <t>2025-08-13</t>
  </si>
  <si>
    <t>Customer_8703</t>
  </si>
  <si>
    <t>ORD00050</t>
  </si>
  <si>
    <t>2025-05-17</t>
  </si>
  <si>
    <t>Customer_7869</t>
  </si>
  <si>
    <t>ORD00051</t>
  </si>
  <si>
    <t>2025-09-27</t>
  </si>
  <si>
    <t>Customer_9955</t>
  </si>
  <si>
    <t>ORD00052</t>
  </si>
  <si>
    <t>2025-03-26</t>
  </si>
  <si>
    <t>Customer_3854</t>
  </si>
  <si>
    <t>ORD00053</t>
  </si>
  <si>
    <t>2025-03-24</t>
  </si>
  <si>
    <t>Customer_5598</t>
  </si>
  <si>
    <t>ORD00054</t>
  </si>
  <si>
    <t>2025-09-04</t>
  </si>
  <si>
    <t>Customer_5908</t>
  </si>
  <si>
    <t>ORD00055</t>
  </si>
  <si>
    <t>2025-05-31</t>
  </si>
  <si>
    <t>Customer_5804</t>
  </si>
  <si>
    <t>ORD00056</t>
  </si>
  <si>
    <t>Customer_3836</t>
  </si>
  <si>
    <t>ORD00057</t>
  </si>
  <si>
    <t>2025-11-06</t>
  </si>
  <si>
    <t>Customer_4601</t>
  </si>
  <si>
    <t>ORD00058</t>
  </si>
  <si>
    <t>2025-04-29</t>
  </si>
  <si>
    <t>Customer_3861</t>
  </si>
  <si>
    <t>ORD00059</t>
  </si>
  <si>
    <t>Customer_3464</t>
  </si>
  <si>
    <t>ORD00060</t>
  </si>
  <si>
    <t>Customer_1181</t>
  </si>
  <si>
    <t>ORD00061</t>
  </si>
  <si>
    <t>2025-06-08</t>
  </si>
  <si>
    <t>Customer_5225</t>
  </si>
  <si>
    <t>ORD00062</t>
  </si>
  <si>
    <t>2025-11-01</t>
  </si>
  <si>
    <t>Customer_7364</t>
  </si>
  <si>
    <t>ORD00063</t>
  </si>
  <si>
    <t>2025-03-25</t>
  </si>
  <si>
    <t>Customer_1345</t>
  </si>
  <si>
    <t>ORD00064</t>
  </si>
  <si>
    <t>2025-08-05</t>
  </si>
  <si>
    <t>Customer_2668</t>
  </si>
  <si>
    <t>ORD00065</t>
  </si>
  <si>
    <t>2025-10-10</t>
  </si>
  <si>
    <t>Customer_2321</t>
  </si>
  <si>
    <t>ORD00067</t>
  </si>
  <si>
    <t>2025-08-15</t>
  </si>
  <si>
    <t>Customer_5154</t>
  </si>
  <si>
    <t>ORD00068</t>
  </si>
  <si>
    <t>2025-07-20</t>
  </si>
  <si>
    <t>Customer_7769</t>
  </si>
  <si>
    <t>ORD00069</t>
  </si>
  <si>
    <t>2025-05-28</t>
  </si>
  <si>
    <t>Customer_6999</t>
  </si>
  <si>
    <t>ORD00070</t>
  </si>
  <si>
    <t>Customer_6105</t>
  </si>
  <si>
    <t>ORD00071</t>
  </si>
  <si>
    <t>Customer_4488</t>
  </si>
  <si>
    <t>ORD00072</t>
  </si>
  <si>
    <t>2025-12-05</t>
  </si>
  <si>
    <t>Customer_1440</t>
  </si>
  <si>
    <t>ORD00073</t>
  </si>
  <si>
    <t>2025-11-09</t>
  </si>
  <si>
    <t>Customer_2222</t>
  </si>
  <si>
    <t>ORD00074</t>
  </si>
  <si>
    <t>2025-06-20</t>
  </si>
  <si>
    <t>Customer_3656</t>
  </si>
  <si>
    <t>ORD00075</t>
  </si>
  <si>
    <t>2025-09-26</t>
  </si>
  <si>
    <t>Customer_7927</t>
  </si>
  <si>
    <t>ORD00076</t>
  </si>
  <si>
    <t>2025-01-28</t>
  </si>
  <si>
    <t>Customer_7663</t>
  </si>
  <si>
    <t>ORD00077</t>
  </si>
  <si>
    <t>2025-03-19</t>
  </si>
  <si>
    <t>Customer_6217</t>
  </si>
  <si>
    <t>ORD00078</t>
  </si>
  <si>
    <t>2025-12-08</t>
  </si>
  <si>
    <t>Customer_7042</t>
  </si>
  <si>
    <t>ORD00079</t>
  </si>
  <si>
    <t>Customer_3895</t>
  </si>
  <si>
    <t>ORD00080</t>
  </si>
  <si>
    <t>2025-05-09</t>
  </si>
  <si>
    <t>Customer_5306</t>
  </si>
  <si>
    <t>ORD00081</t>
  </si>
  <si>
    <t>2025-04-10</t>
  </si>
  <si>
    <t>Customer_8519</t>
  </si>
  <si>
    <t>ORD00082</t>
  </si>
  <si>
    <t>2025-03-28</t>
  </si>
  <si>
    <t>Customer_6074</t>
  </si>
  <si>
    <t>ORD00083</t>
  </si>
  <si>
    <t>2025-03-23</t>
  </si>
  <si>
    <t>Customer_1204</t>
  </si>
  <si>
    <t>ORD00084</t>
  </si>
  <si>
    <t>Customer_1749</t>
  </si>
  <si>
    <t>ORD00085</t>
  </si>
  <si>
    <t>2025-12-31</t>
  </si>
  <si>
    <t>Customer_1807</t>
  </si>
  <si>
    <t>ORD00086</t>
  </si>
  <si>
    <t>2025-10-20</t>
  </si>
  <si>
    <t>Customer_3160</t>
  </si>
  <si>
    <t>2025-09-08</t>
  </si>
  <si>
    <t>ORD00088</t>
  </si>
  <si>
    <t>2025-04-20</t>
  </si>
  <si>
    <t>Customer_1279</t>
  </si>
  <si>
    <t>ORD00089</t>
  </si>
  <si>
    <t>Customer_2855</t>
  </si>
  <si>
    <t>ORD00090</t>
  </si>
  <si>
    <t>2025-12-14</t>
  </si>
  <si>
    <t>Customer_6538</t>
  </si>
  <si>
    <t>ORD00091</t>
  </si>
  <si>
    <t>Customer_9014</t>
  </si>
  <si>
    <t>ORD00092</t>
  </si>
  <si>
    <t>Customer_5513</t>
  </si>
  <si>
    <t>ORD00093</t>
  </si>
  <si>
    <t>Customer_2715</t>
  </si>
  <si>
    <t>ORD00094</t>
  </si>
  <si>
    <t>2025-06-10</t>
  </si>
  <si>
    <t>Customer_2914</t>
  </si>
  <si>
    <t>ORD00095</t>
  </si>
  <si>
    <t>2025-04-06</t>
  </si>
  <si>
    <t>Customer_6818</t>
  </si>
  <si>
    <t>ORD00096</t>
  </si>
  <si>
    <t>2025-02-09</t>
  </si>
  <si>
    <t>Customer_8663</t>
  </si>
  <si>
    <t>ORD00097</t>
  </si>
  <si>
    <t>2025-01-08</t>
  </si>
  <si>
    <t>Customer_3364</t>
  </si>
  <si>
    <t>ORD00098</t>
  </si>
  <si>
    <t>Customer_7660</t>
  </si>
  <si>
    <t>ORD00099</t>
  </si>
  <si>
    <t>Customer_3511</t>
  </si>
  <si>
    <t>ORD00100</t>
  </si>
  <si>
    <t>Customer_3149</t>
  </si>
  <si>
    <t>ORD00101</t>
  </si>
  <si>
    <t>2025-04-22</t>
  </si>
  <si>
    <t>Customer_8877</t>
  </si>
  <si>
    <t>ORD00102</t>
  </si>
  <si>
    <t>2025-12-04</t>
  </si>
  <si>
    <t>Customer_6644</t>
  </si>
  <si>
    <t>ORD00103</t>
  </si>
  <si>
    <t>2025-05-21</t>
  </si>
  <si>
    <t>Customer_1912</t>
  </si>
  <si>
    <t>ORD00104</t>
  </si>
  <si>
    <t>Customer_7847</t>
  </si>
  <si>
    <t>ORD00105</t>
  </si>
  <si>
    <t>2025-08-25</t>
  </si>
  <si>
    <t>Customer_4306</t>
  </si>
  <si>
    <t>ORD00106</t>
  </si>
  <si>
    <t>Customer_2648</t>
  </si>
  <si>
    <t>ORD00107</t>
  </si>
  <si>
    <t>2025-12-06</t>
  </si>
  <si>
    <t>Customer_5912</t>
  </si>
  <si>
    <t>ORD00108</t>
  </si>
  <si>
    <t>2025-08-26</t>
  </si>
  <si>
    <t>Customer_8374</t>
  </si>
  <si>
    <t>ORD00109</t>
  </si>
  <si>
    <t>2025-07-10</t>
  </si>
  <si>
    <t>Customer_8051</t>
  </si>
  <si>
    <t>ORD00110</t>
  </si>
  <si>
    <t>2025-08-22</t>
  </si>
  <si>
    <t>Customer_7926</t>
  </si>
  <si>
    <t>ORD00111</t>
  </si>
  <si>
    <t>2025-06-30</t>
  </si>
  <si>
    <t>Customer_2401</t>
  </si>
  <si>
    <t>ORD00112</t>
  </si>
  <si>
    <t>2025-01-03</t>
  </si>
  <si>
    <t>Customer_1867</t>
  </si>
  <si>
    <t>ORD00113</t>
  </si>
  <si>
    <t>Customer_3686</t>
  </si>
  <si>
    <t>ORD00114</t>
  </si>
  <si>
    <t>2025-02-05</t>
  </si>
  <si>
    <t>Customer_8673</t>
  </si>
  <si>
    <t>ORD00115</t>
  </si>
  <si>
    <t>Customer_3045</t>
  </si>
  <si>
    <t>ORD00116</t>
  </si>
  <si>
    <t>2025-10-30</t>
  </si>
  <si>
    <t>Customer_2387</t>
  </si>
  <si>
    <t>ORD00117</t>
  </si>
  <si>
    <t>2025-08-29</t>
  </si>
  <si>
    <t>Customer_4195</t>
  </si>
  <si>
    <t>ORD00118</t>
  </si>
  <si>
    <t>2025-01-16</t>
  </si>
  <si>
    <t>Customer_5273</t>
  </si>
  <si>
    <t>ORD00119</t>
  </si>
  <si>
    <t>Customer_9376</t>
  </si>
  <si>
    <t>ORD00120</t>
  </si>
  <si>
    <t>2025-05-10</t>
  </si>
  <si>
    <t>Customer_6574</t>
  </si>
  <si>
    <t>ORD00121</t>
  </si>
  <si>
    <t>Customer_9214</t>
  </si>
  <si>
    <t>ORD00122</t>
  </si>
  <si>
    <t>2025-02-02</t>
  </si>
  <si>
    <t>Customer_7086</t>
  </si>
  <si>
    <t>ORD00123</t>
  </si>
  <si>
    <t>Customer_5702</t>
  </si>
  <si>
    <t>ORD00124</t>
  </si>
  <si>
    <t>2025-02-10</t>
  </si>
  <si>
    <t>Customer_3520</t>
  </si>
  <si>
    <t>ORD00125</t>
  </si>
  <si>
    <t>2025-04-11</t>
  </si>
  <si>
    <t>Customer_5461</t>
  </si>
  <si>
    <t>ORD00126</t>
  </si>
  <si>
    <t>2025-01-13</t>
  </si>
  <si>
    <t>Customer_9203</t>
  </si>
  <si>
    <t>ORD00127</t>
  </si>
  <si>
    <t>2025-06-26</t>
  </si>
  <si>
    <t>Customer_8115</t>
  </si>
  <si>
    <t>ORD00128</t>
  </si>
  <si>
    <t>2025-05-19</t>
  </si>
  <si>
    <t>Customer_8191</t>
  </si>
  <si>
    <t>ORD00129</t>
  </si>
  <si>
    <t>Customer_9358</t>
  </si>
  <si>
    <t>ORD00130</t>
  </si>
  <si>
    <t>Customer_6866</t>
  </si>
  <si>
    <t>ORD00131</t>
  </si>
  <si>
    <t>Customer_4850</t>
  </si>
  <si>
    <t>ORD00132</t>
  </si>
  <si>
    <t>2025-12-07</t>
  </si>
  <si>
    <t>Customer_3255</t>
  </si>
  <si>
    <t>ORD00133</t>
  </si>
  <si>
    <t>2025-04-13</t>
  </si>
  <si>
    <t>Customer_6269</t>
  </si>
  <si>
    <t>ORD00134</t>
  </si>
  <si>
    <t>2025-01-19</t>
  </si>
  <si>
    <t>Customer_7317</t>
  </si>
  <si>
    <t>ORD00135</t>
  </si>
  <si>
    <t>Customer_1805</t>
  </si>
  <si>
    <t>ORD00136</t>
  </si>
  <si>
    <t>2025-05-23</t>
  </si>
  <si>
    <t>Customer_1196</t>
  </si>
  <si>
    <t>ORD00137</t>
  </si>
  <si>
    <t>2025-03-29</t>
  </si>
  <si>
    <t>Customer_1590</t>
  </si>
  <si>
    <t>ORD00138</t>
  </si>
  <si>
    <t>2025-11-29</t>
  </si>
  <si>
    <t>Customer_4731</t>
  </si>
  <si>
    <t>ORD00139</t>
  </si>
  <si>
    <t>2025-04-09</t>
  </si>
  <si>
    <t>Customer_4113</t>
  </si>
  <si>
    <t>ORD00140</t>
  </si>
  <si>
    <t>Customer_2791</t>
  </si>
  <si>
    <t>ORD00141</t>
  </si>
  <si>
    <t>2025-04-19</t>
  </si>
  <si>
    <t>Customer_3491</t>
  </si>
  <si>
    <t>ORD00142</t>
  </si>
  <si>
    <t>2025-03-18</t>
  </si>
  <si>
    <t>Customer_9850</t>
  </si>
  <si>
    <t>ORD00143</t>
  </si>
  <si>
    <t>2025-11-11</t>
  </si>
  <si>
    <t>Customer_9692</t>
  </si>
  <si>
    <t>ORD00144</t>
  </si>
  <si>
    <t>2025-10-07</t>
  </si>
  <si>
    <t>Customer_9779</t>
  </si>
  <si>
    <t>ORD00145</t>
  </si>
  <si>
    <t>Customer_5567</t>
  </si>
  <si>
    <t>ORD00146</t>
  </si>
  <si>
    <t>2025-05-24</t>
  </si>
  <si>
    <t>Customer_9863</t>
  </si>
  <si>
    <t>ORD00147</t>
  </si>
  <si>
    <t>2025-05-11</t>
  </si>
  <si>
    <t>Customer_3260</t>
  </si>
  <si>
    <t>ORD00148</t>
  </si>
  <si>
    <t>Customer_6978</t>
  </si>
  <si>
    <t>ORD00149</t>
  </si>
  <si>
    <t>2025-10-31</t>
  </si>
  <si>
    <t>Customer_9668</t>
  </si>
  <si>
    <t>ORD00150</t>
  </si>
  <si>
    <t>Customer_2016</t>
  </si>
  <si>
    <t>ORD00151</t>
  </si>
  <si>
    <t>Customer_2303</t>
  </si>
  <si>
    <t>ORD00152</t>
  </si>
  <si>
    <t>2025-03-05</t>
  </si>
  <si>
    <t>Customer_7133</t>
  </si>
  <si>
    <t>ORD00153</t>
  </si>
  <si>
    <t>2025-03-12</t>
  </si>
  <si>
    <t>Customer_2235</t>
  </si>
  <si>
    <t>ORD00154</t>
  </si>
  <si>
    <t>2025-12-25</t>
  </si>
  <si>
    <t>Customer_7988</t>
  </si>
  <si>
    <t>ORD00155</t>
  </si>
  <si>
    <t>2025-05-03</t>
  </si>
  <si>
    <t>Customer_8873</t>
  </si>
  <si>
    <t>ORD00156</t>
  </si>
  <si>
    <t>Customer_8091</t>
  </si>
  <si>
    <t>ORD00157</t>
  </si>
  <si>
    <t>Customer_5958</t>
  </si>
  <si>
    <t>ORD00158</t>
  </si>
  <si>
    <t>Customer_2097</t>
  </si>
  <si>
    <t>ORD00159</t>
  </si>
  <si>
    <t>2025-11-20</t>
  </si>
  <si>
    <t>Customer_5662</t>
  </si>
  <si>
    <t>ORD00160</t>
  </si>
  <si>
    <t>2025-11-23</t>
  </si>
  <si>
    <t>Customer_5650</t>
  </si>
  <si>
    <t>ORD00161</t>
  </si>
  <si>
    <t>Customer_4032</t>
  </si>
  <si>
    <t>ORD00162</t>
  </si>
  <si>
    <t>2025-03-21</t>
  </si>
  <si>
    <t>Customer_6881</t>
  </si>
  <si>
    <t>ORD00163</t>
  </si>
  <si>
    <t>Customer_2618</t>
  </si>
  <si>
    <t>ORD00164</t>
  </si>
  <si>
    <t>2025-01-29</t>
  </si>
  <si>
    <t>Customer_1457</t>
  </si>
  <si>
    <t>ORD00165</t>
  </si>
  <si>
    <t>2025-11-13</t>
  </si>
  <si>
    <t>Customer_6566</t>
  </si>
  <si>
    <t>ORD00166</t>
  </si>
  <si>
    <t>2025-07-01</t>
  </si>
  <si>
    <t>Customer_6310</t>
  </si>
  <si>
    <t>ORD00167</t>
  </si>
  <si>
    <t>2025-10-17</t>
  </si>
  <si>
    <t>Customer_9946</t>
  </si>
  <si>
    <t>ORD00168</t>
  </si>
  <si>
    <t>Customer_4258</t>
  </si>
  <si>
    <t>ORD00169</t>
  </si>
  <si>
    <t>2025-07-25</t>
  </si>
  <si>
    <t>Customer_9343</t>
  </si>
  <si>
    <t>ORD00170</t>
  </si>
  <si>
    <t>2025-03-02</t>
  </si>
  <si>
    <t>Customer_3971</t>
  </si>
  <si>
    <t>ORD00171</t>
  </si>
  <si>
    <t>2025-09-01</t>
  </si>
  <si>
    <t>Customer_3579</t>
  </si>
  <si>
    <t>ORD00172</t>
  </si>
  <si>
    <t>Customer_6580</t>
  </si>
  <si>
    <t>ORD00173</t>
  </si>
  <si>
    <t>Customer_1922</t>
  </si>
  <si>
    <t>ORD00175</t>
  </si>
  <si>
    <t>2025-09-13</t>
  </si>
  <si>
    <t>Customer_7160</t>
  </si>
  <si>
    <t>ORD00176</t>
  </si>
  <si>
    <t>Customer_1293</t>
  </si>
  <si>
    <t>ORD00177</t>
  </si>
  <si>
    <t>Customer_7163</t>
  </si>
  <si>
    <t>ORD00178</t>
  </si>
  <si>
    <t>Customer_7005</t>
  </si>
  <si>
    <t>ORD00179</t>
  </si>
  <si>
    <t>ORD00180</t>
  </si>
  <si>
    <t>2025-12-21</t>
  </si>
  <si>
    <t>Customer_9619</t>
  </si>
  <si>
    <t>ORD00181</t>
  </si>
  <si>
    <t>2025-07-28</t>
  </si>
  <si>
    <t>Customer_2560</t>
  </si>
  <si>
    <t>ORD00182</t>
  </si>
  <si>
    <t>Customer_2747</t>
  </si>
  <si>
    <t>ORD00183</t>
  </si>
  <si>
    <t>Customer_7730</t>
  </si>
  <si>
    <t>ORD00184</t>
  </si>
  <si>
    <t>Customer_6536</t>
  </si>
  <si>
    <t>ORD00185</t>
  </si>
  <si>
    <t>2025-10-04</t>
  </si>
  <si>
    <t>Customer_1498</t>
  </si>
  <si>
    <t>ORD00186</t>
  </si>
  <si>
    <t>2025-03-10</t>
  </si>
  <si>
    <t>Customer_5464</t>
  </si>
  <si>
    <t>ORD00187</t>
  </si>
  <si>
    <t>2025-07-21</t>
  </si>
  <si>
    <t>Customer_8135</t>
  </si>
  <si>
    <t>ORD00188</t>
  </si>
  <si>
    <t>2025-12-20</t>
  </si>
  <si>
    <t>Customer_2664</t>
  </si>
  <si>
    <t>2025-11-21</t>
  </si>
  <si>
    <t>ORD00190</t>
  </si>
  <si>
    <t>Customer_8496</t>
  </si>
  <si>
    <t>ORD00191</t>
  </si>
  <si>
    <t>Customer_1210</t>
  </si>
  <si>
    <t>ORD00192</t>
  </si>
  <si>
    <t>2025-02-07</t>
  </si>
  <si>
    <t>Customer_7604</t>
  </si>
  <si>
    <t>ORD00193</t>
  </si>
  <si>
    <t>2025-01-05</t>
  </si>
  <si>
    <t>Customer_1193</t>
  </si>
  <si>
    <t>ORD00194</t>
  </si>
  <si>
    <t>2025-10-11</t>
  </si>
  <si>
    <t>Customer_5743</t>
  </si>
  <si>
    <t>ORD00195</t>
  </si>
  <si>
    <t>2025-01-04</t>
  </si>
  <si>
    <t>Customer_3530</t>
  </si>
  <si>
    <t>ORD00196</t>
  </si>
  <si>
    <t>Customer_6324</t>
  </si>
  <si>
    <t>ORD00197</t>
  </si>
  <si>
    <t>Customer_1228</t>
  </si>
  <si>
    <t>ORD00198</t>
  </si>
  <si>
    <t>2025-02-23</t>
  </si>
  <si>
    <t>Customer_4688</t>
  </si>
  <si>
    <t>ORD00199</t>
  </si>
  <si>
    <t>Customer_8056</t>
  </si>
  <si>
    <t>ORD00200</t>
  </si>
  <si>
    <t>Customer_6604</t>
  </si>
  <si>
    <t>ORD00201</t>
  </si>
  <si>
    <t>Customer_7431</t>
  </si>
  <si>
    <t>ORD00202</t>
  </si>
  <si>
    <t>Customer_2239</t>
  </si>
  <si>
    <t>ORD00203</t>
  </si>
  <si>
    <t>Customer_9233</t>
  </si>
  <si>
    <t>ORD00204</t>
  </si>
  <si>
    <t>Customer_4477</t>
  </si>
  <si>
    <t>ORD00205</t>
  </si>
  <si>
    <t>2025-05-20</t>
  </si>
  <si>
    <t>Customer_3474</t>
  </si>
  <si>
    <t>ORD00206</t>
  </si>
  <si>
    <t>2025-02-18</t>
  </si>
  <si>
    <t>Customer_7635</t>
  </si>
  <si>
    <t>ORD00207</t>
  </si>
  <si>
    <t>2025-09-07</t>
  </si>
  <si>
    <t>Customer_9749</t>
  </si>
  <si>
    <t>ORD00208</t>
  </si>
  <si>
    <t>2025-01-25</t>
  </si>
  <si>
    <t>Customer_6286</t>
  </si>
  <si>
    <t>ORD00209</t>
  </si>
  <si>
    <t>Customer_7800</t>
  </si>
  <si>
    <t>ORD00210</t>
  </si>
  <si>
    <t>2025-12-28</t>
  </si>
  <si>
    <t>Customer_7735</t>
  </si>
  <si>
    <t>ORD00211</t>
  </si>
  <si>
    <t>2025-09-25</t>
  </si>
  <si>
    <t>Customer_7282</t>
  </si>
  <si>
    <t>ORD00212</t>
  </si>
  <si>
    <t>Customer_3586</t>
  </si>
  <si>
    <t>ORD00213</t>
  </si>
  <si>
    <t>Customer_1306</t>
  </si>
  <si>
    <t>ORD00214</t>
  </si>
  <si>
    <t>2025-10-25</t>
  </si>
  <si>
    <t>Customer_1705</t>
  </si>
  <si>
    <t>ORD00215</t>
  </si>
  <si>
    <t>2025-07-30</t>
  </si>
  <si>
    <t>Customer_6418</t>
  </si>
  <si>
    <t>ORD00216</t>
  </si>
  <si>
    <t>Customer_7487</t>
  </si>
  <si>
    <t>ORD00217</t>
  </si>
  <si>
    <t>2025-07-31</t>
  </si>
  <si>
    <t>Customer_3645</t>
  </si>
  <si>
    <t>2025-01-06</t>
  </si>
  <si>
    <t>Customer_7878</t>
  </si>
  <si>
    <t>ORD00219</t>
  </si>
  <si>
    <t>2025-05-15</t>
  </si>
  <si>
    <t>Customer_8684</t>
  </si>
  <si>
    <t>Customer_2885</t>
  </si>
  <si>
    <t>ORD00221</t>
  </si>
  <si>
    <t>2025-07-03</t>
  </si>
  <si>
    <t>Customer_2971</t>
  </si>
  <si>
    <t>ORD00222</t>
  </si>
  <si>
    <t>Customer_7989</t>
  </si>
  <si>
    <t>ORD00223</t>
  </si>
  <si>
    <t>Customer_8450</t>
  </si>
  <si>
    <t>ORD00224</t>
  </si>
  <si>
    <t>2025-01-31</t>
  </si>
  <si>
    <t>Customer_4750</t>
  </si>
  <si>
    <t>ORD00225</t>
  </si>
  <si>
    <t>Customer_3531</t>
  </si>
  <si>
    <t>ORD00226</t>
  </si>
  <si>
    <t>2025-02-17</t>
  </si>
  <si>
    <t>Customer_7441</t>
  </si>
  <si>
    <t>ORD00227</t>
  </si>
  <si>
    <t>2025-05-13</t>
  </si>
  <si>
    <t>Customer_6005</t>
  </si>
  <si>
    <t>ORD00228</t>
  </si>
  <si>
    <t>Customer_2438</t>
  </si>
  <si>
    <t>ORD00229</t>
  </si>
  <si>
    <t>Customer_5836</t>
  </si>
  <si>
    <t>ORD00230</t>
  </si>
  <si>
    <t>Customer_7221</t>
  </si>
  <si>
    <t>ORD00231</t>
  </si>
  <si>
    <t>2025-07-14</t>
  </si>
  <si>
    <t>Customer_9537</t>
  </si>
  <si>
    <t>ORD00232</t>
  </si>
  <si>
    <t>2025-02-06</t>
  </si>
  <si>
    <t>Customer_1932</t>
  </si>
  <si>
    <t>ORD00233</t>
  </si>
  <si>
    <t>2025-10-02</t>
  </si>
  <si>
    <t>Customer_3968</t>
  </si>
  <si>
    <t>ORD00234</t>
  </si>
  <si>
    <t>2025-01-10</t>
  </si>
  <si>
    <t>Customer_8223</t>
  </si>
  <si>
    <t>ORD00235</t>
  </si>
  <si>
    <t>Customer_4776</t>
  </si>
  <si>
    <t>ORD00236</t>
  </si>
  <si>
    <t>Customer_7281</t>
  </si>
  <si>
    <t>ORD00237</t>
  </si>
  <si>
    <t>Customer_9192</t>
  </si>
  <si>
    <t>ORD00238</t>
  </si>
  <si>
    <t>2025-12-27</t>
  </si>
  <si>
    <t>Customer_1798</t>
  </si>
  <si>
    <t>ORD00239</t>
  </si>
  <si>
    <t>2025-09-19</t>
  </si>
  <si>
    <t>Customer_2963</t>
  </si>
  <si>
    <t>ORD00240</t>
  </si>
  <si>
    <t>2025-01-15</t>
  </si>
  <si>
    <t>Customer_6619</t>
  </si>
  <si>
    <t>ORD00241</t>
  </si>
  <si>
    <t>Customer_2038</t>
  </si>
  <si>
    <t>ORD00242</t>
  </si>
  <si>
    <t>2025-11-27</t>
  </si>
  <si>
    <t>Customer_9472</t>
  </si>
  <si>
    <t>ORD00243</t>
  </si>
  <si>
    <t>2025-06-13</t>
  </si>
  <si>
    <t>Customer_8510</t>
  </si>
  <si>
    <t>ORD00244</t>
  </si>
  <si>
    <t>2025-08-23</t>
  </si>
  <si>
    <t>Customer_4063</t>
  </si>
  <si>
    <t>ORD00245</t>
  </si>
  <si>
    <t>2025-08-18</t>
  </si>
  <si>
    <t>Customer_8429</t>
  </si>
  <si>
    <t>ORD00246</t>
  </si>
  <si>
    <t>2025-08-24</t>
  </si>
  <si>
    <t>Customer_7963</t>
  </si>
  <si>
    <t>ORD00247</t>
  </si>
  <si>
    <t>Customer_5095</t>
  </si>
  <si>
    <t>ORD00248</t>
  </si>
  <si>
    <t>2025-07-15</t>
  </si>
  <si>
    <t>Customer_3891</t>
  </si>
  <si>
    <t>ORD00249</t>
  </si>
  <si>
    <t>Customer_4587</t>
  </si>
  <si>
    <t>ORD00250</t>
  </si>
  <si>
    <t>2025-08-21</t>
  </si>
  <si>
    <t>Customer_7535</t>
  </si>
  <si>
    <t>ORD00251</t>
  </si>
  <si>
    <t>Customer_5144</t>
  </si>
  <si>
    <t>ORD00252</t>
  </si>
  <si>
    <t>2025-09-03</t>
  </si>
  <si>
    <t>Customer_1053</t>
  </si>
  <si>
    <t>ORD00253</t>
  </si>
  <si>
    <t>Customer_1427</t>
  </si>
  <si>
    <t>ORD00254</t>
  </si>
  <si>
    <t>2025-01-18</t>
  </si>
  <si>
    <t>Customer_6535</t>
  </si>
  <si>
    <t>ORD00255</t>
  </si>
  <si>
    <t>Customer_9299</t>
  </si>
  <si>
    <t>ORD00256</t>
  </si>
  <si>
    <t>Customer_3714</t>
  </si>
  <si>
    <t>ORD00257</t>
  </si>
  <si>
    <t>Customer_7177</t>
  </si>
  <si>
    <t>ORD00258</t>
  </si>
  <si>
    <t>Customer_6002</t>
  </si>
  <si>
    <t>ORD00259</t>
  </si>
  <si>
    <t>Customer_6742</t>
  </si>
  <si>
    <t>ORD00260</t>
  </si>
  <si>
    <t>2025-08-06</t>
  </si>
  <si>
    <t>Customer_2318</t>
  </si>
  <si>
    <t>ORD00261</t>
  </si>
  <si>
    <t>Customer_5221</t>
  </si>
  <si>
    <t>ORD00262</t>
  </si>
  <si>
    <t>2025-02-22</t>
  </si>
  <si>
    <t>Customer_1169</t>
  </si>
  <si>
    <t>ORD00263</t>
  </si>
  <si>
    <t>2025-06-11</t>
  </si>
  <si>
    <t>Customer_7767</t>
  </si>
  <si>
    <t>ORD00264</t>
  </si>
  <si>
    <t>Customer_1609</t>
  </si>
  <si>
    <t>ORD00265</t>
  </si>
  <si>
    <t>Customer_4818</t>
  </si>
  <si>
    <t>ORD00266</t>
  </si>
  <si>
    <t>Customer_9794</t>
  </si>
  <si>
    <t>ORD00268</t>
  </si>
  <si>
    <t>Customer_6415</t>
  </si>
  <si>
    <t>ORD00269</t>
  </si>
  <si>
    <t>Customer_8841</t>
  </si>
  <si>
    <t>ORD00270</t>
  </si>
  <si>
    <t>2025-11-24</t>
  </si>
  <si>
    <t>Customer_9666</t>
  </si>
  <si>
    <t>ORD00271</t>
  </si>
  <si>
    <t>Customer_6651</t>
  </si>
  <si>
    <t>ORD00272</t>
  </si>
  <si>
    <t>2025-03-22</t>
  </si>
  <si>
    <t>Customer_6993</t>
  </si>
  <si>
    <t>ORD00273</t>
  </si>
  <si>
    <t>2025-02-25</t>
  </si>
  <si>
    <t>Customer_5119</t>
  </si>
  <si>
    <t>ORD00274</t>
  </si>
  <si>
    <t>2025-09-30</t>
  </si>
  <si>
    <t>Customer_7191</t>
  </si>
  <si>
    <t>ORD00275</t>
  </si>
  <si>
    <t>Customer_9293</t>
  </si>
  <si>
    <t>ORD00276</t>
  </si>
  <si>
    <t>Customer_4278</t>
  </si>
  <si>
    <t>ORD00277</t>
  </si>
  <si>
    <t>Customer_3147</t>
  </si>
  <si>
    <t>ORD00278</t>
  </si>
  <si>
    <t>Customer_8165</t>
  </si>
  <si>
    <t>ORD00279</t>
  </si>
  <si>
    <t>Customer_8962</t>
  </si>
  <si>
    <t>ORD00280</t>
  </si>
  <si>
    <t>Customer_7911</t>
  </si>
  <si>
    <t>ORD00281</t>
  </si>
  <si>
    <t>Customer_6224</t>
  </si>
  <si>
    <t>ORD00282</t>
  </si>
  <si>
    <t>Customer_9617</t>
  </si>
  <si>
    <t>ORD00283</t>
  </si>
  <si>
    <t>2025-11-28</t>
  </si>
  <si>
    <t>Customer_1642</t>
  </si>
  <si>
    <t>ORD00285</t>
  </si>
  <si>
    <t>Customer_7601</t>
  </si>
  <si>
    <t>ORD00286</t>
  </si>
  <si>
    <t>Customer_4503</t>
  </si>
  <si>
    <t>ORD00287</t>
  </si>
  <si>
    <t>Customer_4205</t>
  </si>
  <si>
    <t>ORD00288</t>
  </si>
  <si>
    <t>Customer_3040</t>
  </si>
  <si>
    <t>ORD00289</t>
  </si>
  <si>
    <t>Customer_8578</t>
  </si>
  <si>
    <t>ORD00290</t>
  </si>
  <si>
    <t>2025-10-12</t>
  </si>
  <si>
    <t>Customer_4679</t>
  </si>
  <si>
    <t>ORD00291</t>
  </si>
  <si>
    <t>2025-04-14</t>
  </si>
  <si>
    <t>Customer_6382</t>
  </si>
  <si>
    <t>ORD00292</t>
  </si>
  <si>
    <t>Customer_1423</t>
  </si>
  <si>
    <t>ORD00293</t>
  </si>
  <si>
    <t>Customer_5790</t>
  </si>
  <si>
    <t>ORD00294</t>
  </si>
  <si>
    <t>Customer_8933</t>
  </si>
  <si>
    <t>ORD00295</t>
  </si>
  <si>
    <t>2025-06-04</t>
  </si>
  <si>
    <t>Customer_1742</t>
  </si>
  <si>
    <t>ORD00296</t>
  </si>
  <si>
    <t>2025-03-01</t>
  </si>
  <si>
    <t>Customer_8783</t>
  </si>
  <si>
    <t>ORD00297</t>
  </si>
  <si>
    <t>Customer_7954</t>
  </si>
  <si>
    <t>ORD00298</t>
  </si>
  <si>
    <t>ORD00299</t>
  </si>
  <si>
    <t>2025-04-02</t>
  </si>
  <si>
    <t>Customer_4519</t>
  </si>
  <si>
    <t>ORD00300</t>
  </si>
  <si>
    <t>Customer_1252</t>
  </si>
  <si>
    <t>ORD00302</t>
  </si>
  <si>
    <t>Customer_5722</t>
  </si>
  <si>
    <t>ORD00303</t>
  </si>
  <si>
    <t>2025-10-27</t>
  </si>
  <si>
    <t>Customer_1770</t>
  </si>
  <si>
    <t>ORD00304</t>
  </si>
  <si>
    <t>Customer_5875</t>
  </si>
  <si>
    <t>ORD00305</t>
  </si>
  <si>
    <t>Customer_9733</t>
  </si>
  <si>
    <t>ORD00306</t>
  </si>
  <si>
    <t>2025-08-02</t>
  </si>
  <si>
    <t>Customer_8359</t>
  </si>
  <si>
    <t>ORD00307</t>
  </si>
  <si>
    <t>Customer_7050</t>
  </si>
  <si>
    <t>ORD00308</t>
  </si>
  <si>
    <t>2025-06-29</t>
  </si>
  <si>
    <t>ORD00309</t>
  </si>
  <si>
    <t>Customer_9918</t>
  </si>
  <si>
    <t>ORD00311</t>
  </si>
  <si>
    <t>2025-03-03</t>
  </si>
  <si>
    <t>Customer_5264</t>
  </si>
  <si>
    <t>ORD00312</t>
  </si>
  <si>
    <t>2025-09-21</t>
  </si>
  <si>
    <t>Customer_5536</t>
  </si>
  <si>
    <t>ORD00313</t>
  </si>
  <si>
    <t>Customer_2004</t>
  </si>
  <si>
    <t>ORD00314</t>
  </si>
  <si>
    <t>2025-10-16</t>
  </si>
  <si>
    <t>Customer_5027</t>
  </si>
  <si>
    <t>ORD00315</t>
  </si>
  <si>
    <t>Customer_7632</t>
  </si>
  <si>
    <t>ORD00316</t>
  </si>
  <si>
    <t>Customer_5802</t>
  </si>
  <si>
    <t>ORD00317</t>
  </si>
  <si>
    <t>Customer_4154</t>
  </si>
  <si>
    <t>ORD00318</t>
  </si>
  <si>
    <t>Customer_3558</t>
  </si>
  <si>
    <t>ORD00319</t>
  </si>
  <si>
    <t>2025-06-19</t>
  </si>
  <si>
    <t>Customer_9906</t>
  </si>
  <si>
    <t>ORD00320</t>
  </si>
  <si>
    <t>Customer_7340</t>
  </si>
  <si>
    <t>ORD00321</t>
  </si>
  <si>
    <t>Customer_5402</t>
  </si>
  <si>
    <t>ORD00323</t>
  </si>
  <si>
    <t>2025-04-30</t>
  </si>
  <si>
    <t>Customer_6290</t>
  </si>
  <si>
    <t>ORD00324</t>
  </si>
  <si>
    <t>2025-11-22</t>
  </si>
  <si>
    <t>Customer_9274</t>
  </si>
  <si>
    <t>ORD00325</t>
  </si>
  <si>
    <t>2025-11-02</t>
  </si>
  <si>
    <t>Customer_4947</t>
  </si>
  <si>
    <t>ORD00326</t>
  </si>
  <si>
    <t>2025-05-22</t>
  </si>
  <si>
    <t>Customer_4949</t>
  </si>
  <si>
    <t>ORD00327</t>
  </si>
  <si>
    <t>2025-05-18</t>
  </si>
  <si>
    <t>ORD00328</t>
  </si>
  <si>
    <t>2025-07-08</t>
  </si>
  <si>
    <t>Customer_4487</t>
  </si>
  <si>
    <t>ORD00329</t>
  </si>
  <si>
    <t>2025-09-15</t>
  </si>
  <si>
    <t>Customer_7883</t>
  </si>
  <si>
    <t>2025-07-11</t>
  </si>
  <si>
    <t>ORD00331</t>
  </si>
  <si>
    <t>Customer_3151</t>
  </si>
  <si>
    <t>ORD00332</t>
  </si>
  <si>
    <t>Customer_4017</t>
  </si>
  <si>
    <t>ORD00333</t>
  </si>
  <si>
    <t>2025-02-20</t>
  </si>
  <si>
    <t>Customer_3629</t>
  </si>
  <si>
    <t>ORD00334</t>
  </si>
  <si>
    <t>2025-11-30</t>
  </si>
  <si>
    <t>Customer_1525</t>
  </si>
  <si>
    <t>ORD00335</t>
  </si>
  <si>
    <t>Customer_4826</t>
  </si>
  <si>
    <t>ORD00336</t>
  </si>
  <si>
    <t>2025-10-22</t>
  </si>
  <si>
    <t>Customer_8016</t>
  </si>
  <si>
    <t>ORD00337</t>
  </si>
  <si>
    <t>2025-04-01</t>
  </si>
  <si>
    <t>Customer_2099</t>
  </si>
  <si>
    <t>ORD00338</t>
  </si>
  <si>
    <t>2025-10-21</t>
  </si>
  <si>
    <t>Customer_3141</t>
  </si>
  <si>
    <t>ORD00339</t>
  </si>
  <si>
    <t>Customer_6544</t>
  </si>
  <si>
    <t>ORD00340</t>
  </si>
  <si>
    <t>2025-07-22</t>
  </si>
  <si>
    <t>Customer_5672</t>
  </si>
  <si>
    <t>ORD00341</t>
  </si>
  <si>
    <t>Customer_4065</t>
  </si>
  <si>
    <t>ORD00342</t>
  </si>
  <si>
    <t>Customer_3438</t>
  </si>
  <si>
    <t>ORD00343</t>
  </si>
  <si>
    <t>Customer_6830</t>
  </si>
  <si>
    <t>ORD00344</t>
  </si>
  <si>
    <t>2025-11-18</t>
  </si>
  <si>
    <t>Customer_3708</t>
  </si>
  <si>
    <t>ORD00345</t>
  </si>
  <si>
    <t>Customer_3998</t>
  </si>
  <si>
    <t>ORD00346</t>
  </si>
  <si>
    <t>Customer_9632</t>
  </si>
  <si>
    <t>ORD00347</t>
  </si>
  <si>
    <t>Customer_4316</t>
  </si>
  <si>
    <t>ORD00348</t>
  </si>
  <si>
    <t>2025-01-07</t>
  </si>
  <si>
    <t>Customer_2442</t>
  </si>
  <si>
    <t>ORD00349</t>
  </si>
  <si>
    <t>Customer_9208</t>
  </si>
  <si>
    <t>ORD00350</t>
  </si>
  <si>
    <t>Customer_7137</t>
  </si>
  <si>
    <t>ORD00351</t>
  </si>
  <si>
    <t>Customer_6064</t>
  </si>
  <si>
    <t>ORD00352</t>
  </si>
  <si>
    <t>Customer_3561</t>
  </si>
  <si>
    <t>ORD00353</t>
  </si>
  <si>
    <t>Customer_8774</t>
  </si>
  <si>
    <t>ORD00354</t>
  </si>
  <si>
    <t>Customer_4706</t>
  </si>
  <si>
    <t>ORD00355</t>
  </si>
  <si>
    <t>2025-08-11</t>
  </si>
  <si>
    <t>Customer_2282</t>
  </si>
  <si>
    <t>ORD00356</t>
  </si>
  <si>
    <t>Customer_4419</t>
  </si>
  <si>
    <t>ORD00357</t>
  </si>
  <si>
    <t>2025-04-12</t>
  </si>
  <si>
    <t>Customer_8580</t>
  </si>
  <si>
    <t>ORD00358</t>
  </si>
  <si>
    <t>Customer_2984</t>
  </si>
  <si>
    <t>ORD00359</t>
  </si>
  <si>
    <t>2025-04-23</t>
  </si>
  <si>
    <t>Customer_6239</t>
  </si>
  <si>
    <t>ORD00360</t>
  </si>
  <si>
    <t>Customer_6638</t>
  </si>
  <si>
    <t>ORD00361</t>
  </si>
  <si>
    <t>Customer_1606</t>
  </si>
  <si>
    <t>ORD00362</t>
  </si>
  <si>
    <t>Customer_5580</t>
  </si>
  <si>
    <t>ORD00363</t>
  </si>
  <si>
    <t>2025-03-13</t>
  </si>
  <si>
    <t>Customer_9902</t>
  </si>
  <si>
    <t>ORD00364</t>
  </si>
  <si>
    <t>2025-01-20</t>
  </si>
  <si>
    <t>Customer_6068</t>
  </si>
  <si>
    <t>ORD00365</t>
  </si>
  <si>
    <t>Customer_1984</t>
  </si>
  <si>
    <t>ORD00366</t>
  </si>
  <si>
    <t>Customer_1134</t>
  </si>
  <si>
    <t>ORD00367</t>
  </si>
  <si>
    <t>2025-10-05</t>
  </si>
  <si>
    <t>Customer_7463</t>
  </si>
  <si>
    <t>ORD00368</t>
  </si>
  <si>
    <t>Customer_8508</t>
  </si>
  <si>
    <t>ORD00369</t>
  </si>
  <si>
    <t>Customer_1699</t>
  </si>
  <si>
    <t>ORD00370</t>
  </si>
  <si>
    <t>2025-03-14</t>
  </si>
  <si>
    <t>Customer_2518</t>
  </si>
  <si>
    <t>ORD00371</t>
  </si>
  <si>
    <t>Customer_1392</t>
  </si>
  <si>
    <t>ORD00372</t>
  </si>
  <si>
    <t>ORD00373</t>
  </si>
  <si>
    <t>Customer_6924</t>
  </si>
  <si>
    <t>ORD00374</t>
  </si>
  <si>
    <t>Customer_3729</t>
  </si>
  <si>
    <t>ORD00375</t>
  </si>
  <si>
    <t>Customer_1473</t>
  </si>
  <si>
    <t>ORD00376</t>
  </si>
  <si>
    <t>Customer_6394</t>
  </si>
  <si>
    <t>ORD00377</t>
  </si>
  <si>
    <t>Customer_8799</t>
  </si>
  <si>
    <t>ORD00378</t>
  </si>
  <si>
    <t>Customer_5016</t>
  </si>
  <si>
    <t>ORD00379</t>
  </si>
  <si>
    <t>2025-06-17</t>
  </si>
  <si>
    <t>Customer_5104</t>
  </si>
  <si>
    <t>ORD00380</t>
  </si>
  <si>
    <t>2025-10-09</t>
  </si>
  <si>
    <t>Customer_2353</t>
  </si>
  <si>
    <t>ORD00381</t>
  </si>
  <si>
    <t>Customer_9710</t>
  </si>
  <si>
    <t>ORD00383</t>
  </si>
  <si>
    <t>Customer_2035</t>
  </si>
  <si>
    <t>ORD00384</t>
  </si>
  <si>
    <t>2025-05-06</t>
  </si>
  <si>
    <t>Customer_3688</t>
  </si>
  <si>
    <t>ORD00385</t>
  </si>
  <si>
    <t>Customer_1481</t>
  </si>
  <si>
    <t>ORD00386</t>
  </si>
  <si>
    <t>Customer_5121</t>
  </si>
  <si>
    <t>ORD00387</t>
  </si>
  <si>
    <t>Customer_9845</t>
  </si>
  <si>
    <t>ORD00388</t>
  </si>
  <si>
    <t>2025-11-15</t>
  </si>
  <si>
    <t>Customer_2641</t>
  </si>
  <si>
    <t>ORD00389</t>
  </si>
  <si>
    <t>2025-09-09</t>
  </si>
  <si>
    <t>Customer_4379</t>
  </si>
  <si>
    <t>ORD00390</t>
  </si>
  <si>
    <t>Customer_2620</t>
  </si>
  <si>
    <t>ORD00391</t>
  </si>
  <si>
    <t>2025-06-23</t>
  </si>
  <si>
    <t>Customer_5712</t>
  </si>
  <si>
    <t>ORD00392</t>
  </si>
  <si>
    <t>Customer_2371</t>
  </si>
  <si>
    <t>ORD00393</t>
  </si>
  <si>
    <t>2025-08-16</t>
  </si>
  <si>
    <t>Customer_2666</t>
  </si>
  <si>
    <t>ORD00394</t>
  </si>
  <si>
    <t>2026-01-01</t>
  </si>
  <si>
    <t>Customer_9675</t>
  </si>
  <si>
    <t>ORD00395</t>
  </si>
  <si>
    <t>Customer_4846</t>
  </si>
  <si>
    <t>ORD00397</t>
  </si>
  <si>
    <t>2025-09-02</t>
  </si>
  <si>
    <t>Customer_6809</t>
  </si>
  <si>
    <t>ORD00398</t>
  </si>
  <si>
    <t>2025-09-18</t>
  </si>
  <si>
    <t>Customer_7132</t>
  </si>
  <si>
    <t>ORD00399</t>
  </si>
  <si>
    <t>Customer_1224</t>
  </si>
  <si>
    <t>ORD00400</t>
  </si>
  <si>
    <t>Customer_9747</t>
  </si>
  <si>
    <t>ORD00401</t>
  </si>
  <si>
    <t>Customer_3387</t>
  </si>
  <si>
    <t>ORD00402</t>
  </si>
  <si>
    <t>2025-04-28</t>
  </si>
  <si>
    <t>Customer_7885</t>
  </si>
  <si>
    <t>ORD00403</t>
  </si>
  <si>
    <t>2025-10-15</t>
  </si>
  <si>
    <t>Customer_7920</t>
  </si>
  <si>
    <t>ORD00404</t>
  </si>
  <si>
    <t>Customer_1948</t>
  </si>
  <si>
    <t>ORD00405</t>
  </si>
  <si>
    <t>2025-08-12</t>
  </si>
  <si>
    <t>Customer_9332</t>
  </si>
  <si>
    <t>ORD00406</t>
  </si>
  <si>
    <t>Customer_3989</t>
  </si>
  <si>
    <t>ORD00407</t>
  </si>
  <si>
    <t>Customer_6965</t>
  </si>
  <si>
    <t>ORD00408</t>
  </si>
  <si>
    <t>Customer_4589</t>
  </si>
  <si>
    <t>ORD00410</t>
  </si>
  <si>
    <t>Customer_1240</t>
  </si>
  <si>
    <t>ORD00411</t>
  </si>
  <si>
    <t>Customer_1480</t>
  </si>
  <si>
    <t>ORD00412</t>
  </si>
  <si>
    <t>Customer_5042</t>
  </si>
  <si>
    <t>ORD00413</t>
  </si>
  <si>
    <t>Customer_7141</t>
  </si>
  <si>
    <t>ORD00414</t>
  </si>
  <si>
    <t>Customer_6466</t>
  </si>
  <si>
    <t>ORD00415</t>
  </si>
  <si>
    <t>Customer_6976</t>
  </si>
  <si>
    <t>ORD00416</t>
  </si>
  <si>
    <t>Customer_9784</t>
  </si>
  <si>
    <t>ORD00417</t>
  </si>
  <si>
    <t>Customer_5920</t>
  </si>
  <si>
    <t>ORD00418</t>
  </si>
  <si>
    <t>2025-08-10</t>
  </si>
  <si>
    <t>Customer_9087</t>
  </si>
  <si>
    <t>ORD00419</t>
  </si>
  <si>
    <t>2025-09-06</t>
  </si>
  <si>
    <t>Customer_8358</t>
  </si>
  <si>
    <t>ORD00420</t>
  </si>
  <si>
    <t>Customer_3036</t>
  </si>
  <si>
    <t>ORD00421</t>
  </si>
  <si>
    <t>2025-06-12</t>
  </si>
  <si>
    <t>Customer_7481</t>
  </si>
  <si>
    <t>ORD00422</t>
  </si>
  <si>
    <t>Customer_6807</t>
  </si>
  <si>
    <t>ORD00423</t>
  </si>
  <si>
    <t>2025-11-08</t>
  </si>
  <si>
    <t>Customer_5964</t>
  </si>
  <si>
    <t>ORD00424</t>
  </si>
  <si>
    <t>2025-11-19</t>
  </si>
  <si>
    <t>Customer_1004</t>
  </si>
  <si>
    <t>ORD00425</t>
  </si>
  <si>
    <t>2025-01-11</t>
  </si>
  <si>
    <t>Customer_4412</t>
  </si>
  <si>
    <t>ORD00426</t>
  </si>
  <si>
    <t>Customer_4687</t>
  </si>
  <si>
    <t>ORD00427</t>
  </si>
  <si>
    <t>Customer_7499</t>
  </si>
  <si>
    <t>ORD00428</t>
  </si>
  <si>
    <t>Customer_8100</t>
  </si>
  <si>
    <t>ORD00429</t>
  </si>
  <si>
    <t>Customer_5178</t>
  </si>
  <si>
    <t>ORD00430</t>
  </si>
  <si>
    <t>Customer_3749</t>
  </si>
  <si>
    <t>ORD00431</t>
  </si>
  <si>
    <t>Customer_5541</t>
  </si>
  <si>
    <t>ORD00432</t>
  </si>
  <si>
    <t>2025-08-07</t>
  </si>
  <si>
    <t>Customer_8814</t>
  </si>
  <si>
    <t>ORD00433</t>
  </si>
  <si>
    <t>Customer_3123</t>
  </si>
  <si>
    <t>ORD00434</t>
  </si>
  <si>
    <t>Customer_9035</t>
  </si>
  <si>
    <t>ORD00435</t>
  </si>
  <si>
    <t>Customer_6556</t>
  </si>
  <si>
    <t>ORD00436</t>
  </si>
  <si>
    <t>Customer_8837</t>
  </si>
  <si>
    <t>ORD00437</t>
  </si>
  <si>
    <t>2025-07-23</t>
  </si>
  <si>
    <t>Customer_8215</t>
  </si>
  <si>
    <t>ORD00438</t>
  </si>
  <si>
    <t>Customer_9224</t>
  </si>
  <si>
    <t>ORD00439</t>
  </si>
  <si>
    <t>2025-06-22</t>
  </si>
  <si>
    <t>Customer_8863</t>
  </si>
  <si>
    <t>ORD00440</t>
  </si>
  <si>
    <t>Customer_9017</t>
  </si>
  <si>
    <t>ORD00441</t>
  </si>
  <si>
    <t>Customer_6843</t>
  </si>
  <si>
    <t>ORD00442</t>
  </si>
  <si>
    <t>2025-12-24</t>
  </si>
  <si>
    <t>Customer_5813</t>
  </si>
  <si>
    <t>ORD00443</t>
  </si>
  <si>
    <t>Customer_5966</t>
  </si>
  <si>
    <t>ORD00444</t>
  </si>
  <si>
    <t>Customer_9481</t>
  </si>
  <si>
    <t>ORD00445</t>
  </si>
  <si>
    <t>2025-12-01</t>
  </si>
  <si>
    <t>Customer_5833</t>
  </si>
  <si>
    <t>ORD00446</t>
  </si>
  <si>
    <t>2025-03-17</t>
  </si>
  <si>
    <t>Customer_6403</t>
  </si>
  <si>
    <t>ORD00447</t>
  </si>
  <si>
    <t>Customer_1869</t>
  </si>
  <si>
    <t>ORD00448</t>
  </si>
  <si>
    <t>Customer_2583</t>
  </si>
  <si>
    <t>ORD00449</t>
  </si>
  <si>
    <t>Customer_4998</t>
  </si>
  <si>
    <t>ORD00450</t>
  </si>
  <si>
    <t>Customer_6172</t>
  </si>
  <si>
    <t>ORD00451</t>
  </si>
  <si>
    <t>2025-02-08</t>
  </si>
  <si>
    <t>Customer_7464</t>
  </si>
  <si>
    <t>ORD00452</t>
  </si>
  <si>
    <t>Customer_8292</t>
  </si>
  <si>
    <t>ORD00453</t>
  </si>
  <si>
    <t>Customer_8816</t>
  </si>
  <si>
    <t>ORD00454</t>
  </si>
  <si>
    <t>Customer_6066</t>
  </si>
  <si>
    <t>ORD00455</t>
  </si>
  <si>
    <t>Customer_5985</t>
  </si>
  <si>
    <t>ORD00457</t>
  </si>
  <si>
    <t>Customer_4038</t>
  </si>
  <si>
    <t>ORD00458</t>
  </si>
  <si>
    <t>Customer_3334</t>
  </si>
  <si>
    <t>ORD00459</t>
  </si>
  <si>
    <t>Customer_2028</t>
  </si>
  <si>
    <t>ORD00460</t>
  </si>
  <si>
    <t>2025-07-18</t>
  </si>
  <si>
    <t>Customer_4997</t>
  </si>
  <si>
    <t>ORD00461</t>
  </si>
  <si>
    <t>2025-04-26</t>
  </si>
  <si>
    <t>Customer_5473</t>
  </si>
  <si>
    <t>ORD00462</t>
  </si>
  <si>
    <t>2025-01-02</t>
  </si>
  <si>
    <t>Customer_2129</t>
  </si>
  <si>
    <t>ORD00463</t>
  </si>
  <si>
    <t>Customer_8773</t>
  </si>
  <si>
    <t>ORD00464</t>
  </si>
  <si>
    <t>Customer_5644</t>
  </si>
  <si>
    <t>ORD00465</t>
  </si>
  <si>
    <t>Customer_9373</t>
  </si>
  <si>
    <t>2025-02-11</t>
  </si>
  <si>
    <t>ORD00467</t>
  </si>
  <si>
    <t>2025-08-03</t>
  </si>
  <si>
    <t>Customer_5682</t>
  </si>
  <si>
    <t>ORD00468</t>
  </si>
  <si>
    <t>2025-04-17</t>
  </si>
  <si>
    <t>ORD00469</t>
  </si>
  <si>
    <t>Customer_1396</t>
  </si>
  <si>
    <t>ORD00470</t>
  </si>
  <si>
    <t>Customer_3087</t>
  </si>
  <si>
    <t>ORD00471</t>
  </si>
  <si>
    <t>Customer_9311</t>
  </si>
  <si>
    <t>ORD00472</t>
  </si>
  <si>
    <t>Customer_3426</t>
  </si>
  <si>
    <t>ORD00473</t>
  </si>
  <si>
    <t>2025-01-12</t>
  </si>
  <si>
    <t>Customer_5807</t>
  </si>
  <si>
    <t>ORD00474</t>
  </si>
  <si>
    <t>Customer_6595</t>
  </si>
  <si>
    <t>ORD00475</t>
  </si>
  <si>
    <t>Customer_9383</t>
  </si>
  <si>
    <t>ORD00476</t>
  </si>
  <si>
    <t>2025-09-05</t>
  </si>
  <si>
    <t>Customer_9987</t>
  </si>
  <si>
    <t>ORD00477</t>
  </si>
  <si>
    <t>Customer_6805</t>
  </si>
  <si>
    <t>ORD00478</t>
  </si>
  <si>
    <t>2025-08-30</t>
  </si>
  <si>
    <t>Customer_2989</t>
  </si>
  <si>
    <t>ORD00479</t>
  </si>
  <si>
    <t>Customer_3252</t>
  </si>
  <si>
    <t>ORD00480</t>
  </si>
  <si>
    <t>Customer_6480</t>
  </si>
  <si>
    <t>ORD00481</t>
  </si>
  <si>
    <t>Customer_6405</t>
  </si>
  <si>
    <t>2025-01-21</t>
  </si>
  <si>
    <t>ORD00483</t>
  </si>
  <si>
    <t>2025-04-07</t>
  </si>
  <si>
    <t>Customer_7829</t>
  </si>
  <si>
    <t>ORD00484</t>
  </si>
  <si>
    <t>2025-08-01</t>
  </si>
  <si>
    <t>Customer_9557</t>
  </si>
  <si>
    <t>ORD00485</t>
  </si>
  <si>
    <t>Customer_5343</t>
  </si>
  <si>
    <t>ORD00486</t>
  </si>
  <si>
    <t>Customer_7644</t>
  </si>
  <si>
    <t>ORD00487</t>
  </si>
  <si>
    <t>Customer_9282</t>
  </si>
  <si>
    <t>ORD00488</t>
  </si>
  <si>
    <t>Customer_9467</t>
  </si>
  <si>
    <t>ORD00489</t>
  </si>
  <si>
    <t>2025-10-14</t>
  </si>
  <si>
    <t>Customer_9685</t>
  </si>
  <si>
    <t>ORD00490</t>
  </si>
  <si>
    <t>Customer_1920</t>
  </si>
  <si>
    <t>ORD00491</t>
  </si>
  <si>
    <t>Customer_6109</t>
  </si>
  <si>
    <t>ORD00492</t>
  </si>
  <si>
    <t>Customer_4588</t>
  </si>
  <si>
    <t>ORD00493</t>
  </si>
  <si>
    <t>Customer_7806</t>
  </si>
  <si>
    <t>ORD00494</t>
  </si>
  <si>
    <t>2025-04-05</t>
  </si>
  <si>
    <t>Customer_2959</t>
  </si>
  <si>
    <t>ORD00495</t>
  </si>
  <si>
    <t>2025-10-08</t>
  </si>
  <si>
    <t>Customer_8214</t>
  </si>
  <si>
    <t>ORD00496</t>
  </si>
  <si>
    <t>Customer_5307</t>
  </si>
  <si>
    <t>ORD00497</t>
  </si>
  <si>
    <t>2025-03-27</t>
  </si>
  <si>
    <t>Customer_4765</t>
  </si>
  <si>
    <t>ORD00498</t>
  </si>
  <si>
    <t>Customer_3489</t>
  </si>
  <si>
    <t>ORD00499</t>
  </si>
  <si>
    <t>Customer_7144</t>
  </si>
  <si>
    <t>ORD00500</t>
  </si>
  <si>
    <t>Customer_4217</t>
  </si>
  <si>
    <t>ORD00501</t>
  </si>
  <si>
    <t>ORD00502</t>
  </si>
  <si>
    <t>Customer_3269</t>
  </si>
  <si>
    <t>ORD00503</t>
  </si>
  <si>
    <t>Customer_7699</t>
  </si>
  <si>
    <t>ORD00504</t>
  </si>
  <si>
    <t>2025-09-29</t>
  </si>
  <si>
    <t>Customer_4564</t>
  </si>
  <si>
    <t>ORD00505</t>
  </si>
  <si>
    <t>Customer_6631</t>
  </si>
  <si>
    <t>ORD00506</t>
  </si>
  <si>
    <t>2025-09-23</t>
  </si>
  <si>
    <t>Customer_1651</t>
  </si>
  <si>
    <t>ORD00507</t>
  </si>
  <si>
    <t>Customer_8527</t>
  </si>
  <si>
    <t>ORD00508</t>
  </si>
  <si>
    <t>Customer_1957</t>
  </si>
  <si>
    <t>ORD00509</t>
  </si>
  <si>
    <t>Customer_1346</t>
  </si>
  <si>
    <t>ORD00510</t>
  </si>
  <si>
    <t>2025-08-19</t>
  </si>
  <si>
    <t>Customer_4567</t>
  </si>
  <si>
    <t>ORD00511</t>
  </si>
  <si>
    <t>Customer_1075</t>
  </si>
  <si>
    <t>ORD00512</t>
  </si>
  <si>
    <t>ORD00513</t>
  </si>
  <si>
    <t>Customer_3691</t>
  </si>
  <si>
    <t>ORD00514</t>
  </si>
  <si>
    <t>Customer_4773</t>
  </si>
  <si>
    <t>ORD00516</t>
  </si>
  <si>
    <t>Customer_6687</t>
  </si>
  <si>
    <t>ORD00517</t>
  </si>
  <si>
    <t>2025-05-27</t>
  </si>
  <si>
    <t>Customer_3975</t>
  </si>
  <si>
    <t>ORD00518</t>
  </si>
  <si>
    <t>Customer_9838</t>
  </si>
  <si>
    <t>ORD00519</t>
  </si>
  <si>
    <t>Customer_7749</t>
  </si>
  <si>
    <t>ORD00520</t>
  </si>
  <si>
    <t>2025-11-07</t>
  </si>
  <si>
    <t>Customer_8233</t>
  </si>
  <si>
    <t>ORD00521</t>
  </si>
  <si>
    <t>Customer_8436</t>
  </si>
  <si>
    <t>ORD00522</t>
  </si>
  <si>
    <t>Customer_4808</t>
  </si>
  <si>
    <t>ORD00523</t>
  </si>
  <si>
    <t>2025-10-24</t>
  </si>
  <si>
    <t>Customer_2420</t>
  </si>
  <si>
    <t>ORD00524</t>
  </si>
  <si>
    <t>2025-06-14</t>
  </si>
  <si>
    <t>Customer_2700</t>
  </si>
  <si>
    <t>ORD00525</t>
  </si>
  <si>
    <t>Customer_6169</t>
  </si>
  <si>
    <t>ORD00526</t>
  </si>
  <si>
    <t>Customer_2887</t>
  </si>
  <si>
    <t>ORD00527</t>
  </si>
  <si>
    <t>2025-10-26</t>
  </si>
  <si>
    <t>Customer_8970</t>
  </si>
  <si>
    <t>ORD00528</t>
  </si>
  <si>
    <t>Customer_7314</t>
  </si>
  <si>
    <t>ORD00529</t>
  </si>
  <si>
    <t>Customer_3852</t>
  </si>
  <si>
    <t>ORD00530</t>
  </si>
  <si>
    <t>2025-12-15</t>
  </si>
  <si>
    <t>Customer_4054</t>
  </si>
  <si>
    <t>ORD00531</t>
  </si>
  <si>
    <t>Customer_8505</t>
  </si>
  <si>
    <t>ORD00532</t>
  </si>
  <si>
    <t>Customer_1066</t>
  </si>
  <si>
    <t>ORD00533</t>
  </si>
  <si>
    <t>Customer_2824</t>
  </si>
  <si>
    <t>ORD00534</t>
  </si>
  <si>
    <t>2025-12-12</t>
  </si>
  <si>
    <t>Customer_8273</t>
  </si>
  <si>
    <t>ORD00535</t>
  </si>
  <si>
    <t>Customer_5288</t>
  </si>
  <si>
    <t>ORD00536</t>
  </si>
  <si>
    <t>2025-12-10</t>
  </si>
  <si>
    <t>Customer_5252</t>
  </si>
  <si>
    <t>ORD00537</t>
  </si>
  <si>
    <t>Customer_3361</t>
  </si>
  <si>
    <t>ORD00538</t>
  </si>
  <si>
    <t>Customer_8413</t>
  </si>
  <si>
    <t>ORD00540</t>
  </si>
  <si>
    <t>2025-08-14</t>
  </si>
  <si>
    <t>Customer_9297</t>
  </si>
  <si>
    <t>ORD00541</t>
  </si>
  <si>
    <t>Customer_3678</t>
  </si>
  <si>
    <t>ORD00542</t>
  </si>
  <si>
    <t>Customer_4957</t>
  </si>
  <si>
    <t>ORD00543</t>
  </si>
  <si>
    <t>Customer_6467</t>
  </si>
  <si>
    <t>ORD00544</t>
  </si>
  <si>
    <t>Customer_6048</t>
  </si>
  <si>
    <t>ORD00545</t>
  </si>
  <si>
    <t>Customer_9588</t>
  </si>
  <si>
    <t>ORD00546</t>
  </si>
  <si>
    <t>Customer_4319</t>
  </si>
  <si>
    <t>ORD00547</t>
  </si>
  <si>
    <t>Customer_1829</t>
  </si>
  <si>
    <t>ORD00548</t>
  </si>
  <si>
    <t>Customer_4920</t>
  </si>
  <si>
    <t>ORD00549</t>
  </si>
  <si>
    <t>ORD00551</t>
  </si>
  <si>
    <t>Customer_2922</t>
  </si>
  <si>
    <t>ORD00552</t>
  </si>
  <si>
    <t>ORD00553</t>
  </si>
  <si>
    <t>2025-02-21</t>
  </si>
  <si>
    <t>ORD00554</t>
  </si>
  <si>
    <t>Customer_5882</t>
  </si>
  <si>
    <t>ORD00555</t>
  </si>
  <si>
    <t>2025-09-22</t>
  </si>
  <si>
    <t>Customer_8534</t>
  </si>
  <si>
    <t>ORD00556</t>
  </si>
  <si>
    <t>Customer_5826</t>
  </si>
  <si>
    <t>ORD00557</t>
  </si>
  <si>
    <t>2025-06-05</t>
  </si>
  <si>
    <t>Customer_6824</t>
  </si>
  <si>
    <t>ORD00558</t>
  </si>
  <si>
    <t>Customer_9235</t>
  </si>
  <si>
    <t>ORD00559</t>
  </si>
  <si>
    <t>2025-10-18</t>
  </si>
  <si>
    <t>Customer_1623</t>
  </si>
  <si>
    <t>ORD00560</t>
  </si>
  <si>
    <t>2025-01-24</t>
  </si>
  <si>
    <t>Customer_4370</t>
  </si>
  <si>
    <t>ORD00561</t>
  </si>
  <si>
    <t>Customer_9041</t>
  </si>
  <si>
    <t>ORD00562</t>
  </si>
  <si>
    <t>Customer_3673</t>
  </si>
  <si>
    <t>ORD00563</t>
  </si>
  <si>
    <t>Customer_8453</t>
  </si>
  <si>
    <t>Customer_4267</t>
  </si>
  <si>
    <t>ORD00565</t>
  </si>
  <si>
    <t>Customer_4642</t>
  </si>
  <si>
    <t>ORD00566</t>
  </si>
  <si>
    <t>Customer_3509</t>
  </si>
  <si>
    <t>ORD00567</t>
  </si>
  <si>
    <t>Customer_7449</t>
  </si>
  <si>
    <t>ORD00568</t>
  </si>
  <si>
    <t>Customer_3025</t>
  </si>
  <si>
    <t>ORD00569</t>
  </si>
  <si>
    <t>Customer_6326</t>
  </si>
  <si>
    <t>ORD00570</t>
  </si>
  <si>
    <t>2025-12-19</t>
  </si>
  <si>
    <t>Customer_8749</t>
  </si>
  <si>
    <t>ORD00571</t>
  </si>
  <si>
    <t>Customer_4678</t>
  </si>
  <si>
    <t>ORD00572</t>
  </si>
  <si>
    <t>Customer_7017</t>
  </si>
  <si>
    <t>ORD00573</t>
  </si>
  <si>
    <t>Customer_8025</t>
  </si>
  <si>
    <t>ORD00574</t>
  </si>
  <si>
    <t>Customer_2328</t>
  </si>
  <si>
    <t>ORD00575</t>
  </si>
  <si>
    <t>Customer_3881</t>
  </si>
  <si>
    <t>ORD00577</t>
  </si>
  <si>
    <t>Customer_7751</t>
  </si>
  <si>
    <t>ORD00578</t>
  </si>
  <si>
    <t>2025-05-04</t>
  </si>
  <si>
    <t>Customer_8310</t>
  </si>
  <si>
    <t>ORD00579</t>
  </si>
  <si>
    <t>ORD00580</t>
  </si>
  <si>
    <t>Customer_3608</t>
  </si>
  <si>
    <t>ORD00581</t>
  </si>
  <si>
    <t>Customer_5314</t>
  </si>
  <si>
    <t>ORD00582</t>
  </si>
  <si>
    <t>Customer_4932</t>
  </si>
  <si>
    <t>ORD00583</t>
  </si>
  <si>
    <t>Customer_1821</t>
  </si>
  <si>
    <t>ORD00584</t>
  </si>
  <si>
    <t>ORD00585</t>
  </si>
  <si>
    <t>Customer_6686</t>
  </si>
  <si>
    <t>ORD00586</t>
  </si>
  <si>
    <t>Customer_8547</t>
  </si>
  <si>
    <t>ORD00588</t>
  </si>
  <si>
    <t>2025-08-17</t>
  </si>
  <si>
    <t>Customer_3887</t>
  </si>
  <si>
    <t>ORD00589</t>
  </si>
  <si>
    <t>Customer_6652</t>
  </si>
  <si>
    <t>ORD00590</t>
  </si>
  <si>
    <t>Customer_4476</t>
  </si>
  <si>
    <t>ORD00591</t>
  </si>
  <si>
    <t>Customer_7103</t>
  </si>
  <si>
    <t>ORD00592</t>
  </si>
  <si>
    <t>2025-04-24</t>
  </si>
  <si>
    <t>Customer_5503</t>
  </si>
  <si>
    <t>ORD00593</t>
  </si>
  <si>
    <t>2025-01-14</t>
  </si>
  <si>
    <t>Customer_8549</t>
  </si>
  <si>
    <t>ORD00594</t>
  </si>
  <si>
    <t>Customer_2337</t>
  </si>
  <si>
    <t>ORD00595</t>
  </si>
  <si>
    <t>2025-08-28</t>
  </si>
  <si>
    <t>Customer_2548</t>
  </si>
  <si>
    <t>ORD00596</t>
  </si>
  <si>
    <t>Customer_2728</t>
  </si>
  <si>
    <t>ORD00597</t>
  </si>
  <si>
    <t>Customer_7069</t>
  </si>
  <si>
    <t>ORD00598</t>
  </si>
  <si>
    <t>Customer_3358</t>
  </si>
  <si>
    <t>ORD00599</t>
  </si>
  <si>
    <t>Customer_2484</t>
  </si>
  <si>
    <t>ORD00600</t>
  </si>
  <si>
    <t>Customer_6501</t>
  </si>
  <si>
    <t>ORD00601</t>
  </si>
  <si>
    <t>Customer_2735</t>
  </si>
  <si>
    <t>ORD00602</t>
  </si>
  <si>
    <t>Customer_6115</t>
  </si>
  <si>
    <t>ORD00603</t>
  </si>
  <si>
    <t>Customer_9490</t>
  </si>
  <si>
    <t>ORD00604</t>
  </si>
  <si>
    <t>Customer_8627</t>
  </si>
  <si>
    <t>ORD00605</t>
  </si>
  <si>
    <t>Customer_8382</t>
  </si>
  <si>
    <t>ORD00606</t>
  </si>
  <si>
    <t>2025-01-30</t>
  </si>
  <si>
    <t>Customer_5440</t>
  </si>
  <si>
    <t>ORD00607</t>
  </si>
  <si>
    <t>Customer_2418</t>
  </si>
  <si>
    <t>ORD00608</t>
  </si>
  <si>
    <t>Customer_6520</t>
  </si>
  <si>
    <t>ORD00609</t>
  </si>
  <si>
    <t>ORD00610</t>
  </si>
  <si>
    <t>2025-01-17</t>
  </si>
  <si>
    <t>Customer_1254</t>
  </si>
  <si>
    <t>ORD00611</t>
  </si>
  <si>
    <t>Customer_9529</t>
  </si>
  <si>
    <t>ORD00612</t>
  </si>
  <si>
    <t>Customer_2774</t>
  </si>
  <si>
    <t>ORD00613</t>
  </si>
  <si>
    <t>2025-07-09</t>
  </si>
  <si>
    <t>Customer_5742</t>
  </si>
  <si>
    <t>ORD00614</t>
  </si>
  <si>
    <t>Customer_5639</t>
  </si>
  <si>
    <t>ORD00615</t>
  </si>
  <si>
    <t>Customer_4436</t>
  </si>
  <si>
    <t>ORD00617</t>
  </si>
  <si>
    <t>Customer_7907</t>
  </si>
  <si>
    <t>ORD00618</t>
  </si>
  <si>
    <t>Customer_7507</t>
  </si>
  <si>
    <t>ORD00619</t>
  </si>
  <si>
    <t>Customer_4479</t>
  </si>
  <si>
    <t>ORD00620</t>
  </si>
  <si>
    <t>Customer_5900</t>
  </si>
  <si>
    <t>ORD00621</t>
  </si>
  <si>
    <t>Customer_9327</t>
  </si>
  <si>
    <t>ORD00622</t>
  </si>
  <si>
    <t>Customer_2114</t>
  </si>
  <si>
    <t>ORD00623</t>
  </si>
  <si>
    <t>Customer_7919</t>
  </si>
  <si>
    <t>ORD00624</t>
  </si>
  <si>
    <t>Customer_1738</t>
  </si>
  <si>
    <t>ORD00625</t>
  </si>
  <si>
    <t>Customer_7719</t>
  </si>
  <si>
    <t>ORD00626</t>
  </si>
  <si>
    <t>Customer_3286</t>
  </si>
  <si>
    <t>ORD00627</t>
  </si>
  <si>
    <t>ORD00628</t>
  </si>
  <si>
    <t>Customer_1371</t>
  </si>
  <si>
    <t>ORD00629</t>
  </si>
  <si>
    <t>Customer_1268</t>
  </si>
  <si>
    <t>ORD00630</t>
  </si>
  <si>
    <t>2025-10-19</t>
  </si>
  <si>
    <t>Customer_8272</t>
  </si>
  <si>
    <t>ORD00631</t>
  </si>
  <si>
    <t>Customer_4339</t>
  </si>
  <si>
    <t>ORD00632</t>
  </si>
  <si>
    <t>Customer_3315</t>
  </si>
  <si>
    <t>ORD00633</t>
  </si>
  <si>
    <t>Customer_8396</t>
  </si>
  <si>
    <t>ORD00634</t>
  </si>
  <si>
    <t>Customer_9002</t>
  </si>
  <si>
    <t>ORD00635</t>
  </si>
  <si>
    <t>Customer_6858</t>
  </si>
  <si>
    <t>ORD00636</t>
  </si>
  <si>
    <t>Customer_4343</t>
  </si>
  <si>
    <t>ORD00637</t>
  </si>
  <si>
    <t>Customer_5282</t>
  </si>
  <si>
    <t>ORD00638</t>
  </si>
  <si>
    <t>ORD00639</t>
  </si>
  <si>
    <t>Customer_3778</t>
  </si>
  <si>
    <t>ORD00640</t>
  </si>
  <si>
    <t>Customer_8887</t>
  </si>
  <si>
    <t>ORD00641</t>
  </si>
  <si>
    <t>Customer_2584</t>
  </si>
  <si>
    <t>ORD00642</t>
  </si>
  <si>
    <t>Customer_8356</t>
  </si>
  <si>
    <t>ORD00643</t>
  </si>
  <si>
    <t>Customer_8086</t>
  </si>
  <si>
    <t>ORD00644</t>
  </si>
  <si>
    <t>ORD00645</t>
  </si>
  <si>
    <t>Customer_1935</t>
  </si>
  <si>
    <t>ORD00646</t>
  </si>
  <si>
    <t>Customer_8134</t>
  </si>
  <si>
    <t>ORD00647</t>
  </si>
  <si>
    <t>Customer_1785</t>
  </si>
  <si>
    <t>ORD00648</t>
  </si>
  <si>
    <t>Customer_4971</t>
  </si>
  <si>
    <t>ORD00649</t>
  </si>
  <si>
    <t>Customer_2941</t>
  </si>
  <si>
    <t>ORD00650</t>
  </si>
  <si>
    <t>2025-05-29</t>
  </si>
  <si>
    <t>Customer_9339</t>
  </si>
  <si>
    <t>ORD00651</t>
  </si>
  <si>
    <t>Customer_2422</t>
  </si>
  <si>
    <t>ORD00652</t>
  </si>
  <si>
    <t>Customer_6219</t>
  </si>
  <si>
    <t>ORD00653</t>
  </si>
  <si>
    <t>Customer_8694</t>
  </si>
  <si>
    <t>ORD00654</t>
  </si>
  <si>
    <t>Customer_9911</t>
  </si>
  <si>
    <t>ORD00655</t>
  </si>
  <si>
    <t>Customer_2682</t>
  </si>
  <si>
    <t>ORD00656</t>
  </si>
  <si>
    <t>Customer_5293</t>
  </si>
  <si>
    <t>ORD00657</t>
  </si>
  <si>
    <t>Customer_6073</t>
  </si>
  <si>
    <t>ORD00658</t>
  </si>
  <si>
    <t>Customer_8416</t>
  </si>
  <si>
    <t>ORD00659</t>
  </si>
  <si>
    <t>2025-11-17</t>
  </si>
  <si>
    <t>Customer_4007</t>
  </si>
  <si>
    <t>ORD00661</t>
  </si>
  <si>
    <t>ORD00662</t>
  </si>
  <si>
    <t>2025-05-16</t>
  </si>
  <si>
    <t>Customer_9099</t>
  </si>
  <si>
    <t>ORD00663</t>
  </si>
  <si>
    <t>Customer_9564</t>
  </si>
  <si>
    <t>ORD00664</t>
  </si>
  <si>
    <t>Customer_5130</t>
  </si>
  <si>
    <t>ORD00665</t>
  </si>
  <si>
    <t>Customer_6583</t>
  </si>
  <si>
    <t>ORD00666</t>
  </si>
  <si>
    <t>Customer_5568</t>
  </si>
  <si>
    <t>ORD00667</t>
  </si>
  <si>
    <t>Customer_2095</t>
  </si>
  <si>
    <t>ORD00668</t>
  </si>
  <si>
    <t>Customer_8884</t>
  </si>
  <si>
    <t>ORD00669</t>
  </si>
  <si>
    <t>Customer_2876</t>
  </si>
  <si>
    <t>ORD00670</t>
  </si>
  <si>
    <t>Customer_3404</t>
  </si>
  <si>
    <t>ORD00671</t>
  </si>
  <si>
    <t>2025-04-21</t>
  </si>
  <si>
    <t>Customer_2436</t>
  </si>
  <si>
    <t>ORD00672</t>
  </si>
  <si>
    <t>2025-04-15</t>
  </si>
  <si>
    <t>Customer_1040</t>
  </si>
  <si>
    <t>ORD00674</t>
  </si>
  <si>
    <t>Customer_8861</t>
  </si>
  <si>
    <t>ORD00675</t>
  </si>
  <si>
    <t>Customer_4561</t>
  </si>
  <si>
    <t>ORD00677</t>
  </si>
  <si>
    <t>Customer_8570</t>
  </si>
  <si>
    <t>ORD00678</t>
  </si>
  <si>
    <t>Customer_9416</t>
  </si>
  <si>
    <t>ORD00679</t>
  </si>
  <si>
    <t>Customer_1834</t>
  </si>
  <si>
    <t>ORD00680</t>
  </si>
  <si>
    <t>2025-02-24</t>
  </si>
  <si>
    <t>Customer_3392</t>
  </si>
  <si>
    <t>ORD00681</t>
  </si>
  <si>
    <t>2025-08-27</t>
  </si>
  <si>
    <t>Customer_7128</t>
  </si>
  <si>
    <t>ORD00682</t>
  </si>
  <si>
    <t>Customer_3515</t>
  </si>
  <si>
    <t>ORD00683</t>
  </si>
  <si>
    <t>Customer_1417</t>
  </si>
  <si>
    <t>ORD00684</t>
  </si>
  <si>
    <t>Customer_1200</t>
  </si>
  <si>
    <t>ORD00685</t>
  </si>
  <si>
    <t>Customer_8991</t>
  </si>
  <si>
    <t>ORD00686</t>
  </si>
  <si>
    <t>2025-05-25</t>
  </si>
  <si>
    <t>Customer_8747</t>
  </si>
  <si>
    <t>ORD00687</t>
  </si>
  <si>
    <t>Customer_6781</t>
  </si>
  <si>
    <t>ORD00689</t>
  </si>
  <si>
    <t>Customer_1161</t>
  </si>
  <si>
    <t>ORD00690</t>
  </si>
  <si>
    <t>Customer_9413</t>
  </si>
  <si>
    <t>ORD00691</t>
  </si>
  <si>
    <t>2025-07-06</t>
  </si>
  <si>
    <t>Customer_9893</t>
  </si>
  <si>
    <t>ORD00692</t>
  </si>
  <si>
    <t>Customer_4076</t>
  </si>
  <si>
    <t>ORD00693</t>
  </si>
  <si>
    <t>2025-05-26</t>
  </si>
  <si>
    <t>ORD00694</t>
  </si>
  <si>
    <t>Customer_3168</t>
  </si>
  <si>
    <t>ORD00695</t>
  </si>
  <si>
    <t>Customer_4086</t>
  </si>
  <si>
    <t>ORD00696</t>
  </si>
  <si>
    <t>Customer_8674</t>
  </si>
  <si>
    <t>ORD00697</t>
  </si>
  <si>
    <t>Customer_1067</t>
  </si>
  <si>
    <t>ORD00698</t>
  </si>
  <si>
    <t>Customer_8171</t>
  </si>
  <si>
    <t>ORD00699</t>
  </si>
  <si>
    <t>Customer_4380</t>
  </si>
  <si>
    <t>ORD00700</t>
  </si>
  <si>
    <t>Customer_2211</t>
  </si>
  <si>
    <t>ORD00701</t>
  </si>
  <si>
    <t>Customer_3192</t>
  </si>
  <si>
    <t>ORD00702</t>
  </si>
  <si>
    <t>ORD00703</t>
  </si>
  <si>
    <t>ORD00704</t>
  </si>
  <si>
    <t>Customer_7274</t>
  </si>
  <si>
    <t>ORD00705</t>
  </si>
  <si>
    <t>Customer_4268</t>
  </si>
  <si>
    <t>ORD00706</t>
  </si>
  <si>
    <t>Customer_9965</t>
  </si>
  <si>
    <t>ORD00707</t>
  </si>
  <si>
    <t>Customer_6837</t>
  </si>
  <si>
    <t>ORD00708</t>
  </si>
  <si>
    <t>2025-12-16</t>
  </si>
  <si>
    <t>ORD00709</t>
  </si>
  <si>
    <t>Customer_2207</t>
  </si>
  <si>
    <t>ORD00710</t>
  </si>
  <si>
    <t>Customer_7997</t>
  </si>
  <si>
    <t>ORD00711</t>
  </si>
  <si>
    <t>Customer_2181</t>
  </si>
  <si>
    <t>ORD00713</t>
  </si>
  <si>
    <t>Customer_4152</t>
  </si>
  <si>
    <t>ORD00714</t>
  </si>
  <si>
    <t>Customer_5401</t>
  </si>
  <si>
    <t>ORD00715</t>
  </si>
  <si>
    <t>Customer_2834</t>
  </si>
  <si>
    <t>ORD00716</t>
  </si>
  <si>
    <t>Customer_3171</t>
  </si>
  <si>
    <t>ORD00717</t>
  </si>
  <si>
    <t>Customer_9643</t>
  </si>
  <si>
    <t>ORD00718</t>
  </si>
  <si>
    <t>Customer_2104</t>
  </si>
  <si>
    <t>ORD00719</t>
  </si>
  <si>
    <t>Customer_7771</t>
  </si>
  <si>
    <t>ORD00720</t>
  </si>
  <si>
    <t>Customer_2926</t>
  </si>
  <si>
    <t>ORD00721</t>
  </si>
  <si>
    <t>Customer_7156</t>
  </si>
  <si>
    <t>ORD00722</t>
  </si>
  <si>
    <t>Customer_8789</t>
  </si>
  <si>
    <t>ORD00723</t>
  </si>
  <si>
    <t>Customer_5064</t>
  </si>
  <si>
    <t>ORD00724</t>
  </si>
  <si>
    <t>Customer_1476</t>
  </si>
  <si>
    <t>ORD00725</t>
  </si>
  <si>
    <t>Customer_6481</t>
  </si>
  <si>
    <t>ORD00726</t>
  </si>
  <si>
    <t>Customer_7779</t>
  </si>
  <si>
    <t>ORD00727</t>
  </si>
  <si>
    <t>Customer_6038</t>
  </si>
  <si>
    <t>ORD00728</t>
  </si>
  <si>
    <t>Customer_2684</t>
  </si>
  <si>
    <t>ORD00729</t>
  </si>
  <si>
    <t>Customer_4410</t>
  </si>
  <si>
    <t>ORD00731</t>
  </si>
  <si>
    <t>Customer_5550</t>
  </si>
  <si>
    <t>ORD00733</t>
  </si>
  <si>
    <t>Customer_8256</t>
  </si>
  <si>
    <t>ORD00734</t>
  </si>
  <si>
    <t>ORD00735</t>
  </si>
  <si>
    <t>2025-11-12</t>
  </si>
  <si>
    <t>Customer_2924</t>
  </si>
  <si>
    <t>ORD00736</t>
  </si>
  <si>
    <t>2025-02-14</t>
  </si>
  <si>
    <t>ORD00737</t>
  </si>
  <si>
    <t>Customer_4373</t>
  </si>
  <si>
    <t>ORD00738</t>
  </si>
  <si>
    <t>Customer_7492</t>
  </si>
  <si>
    <t>ORD00739</t>
  </si>
  <si>
    <t>2025-12-18</t>
  </si>
  <si>
    <t>Customer_4384</t>
  </si>
  <si>
    <t>ORD00740</t>
  </si>
  <si>
    <t>Customer_1034</t>
  </si>
  <si>
    <t>ORD00741</t>
  </si>
  <si>
    <t>ORD00742</t>
  </si>
  <si>
    <t>Customer_4840</t>
  </si>
  <si>
    <t>ORD00743</t>
  </si>
  <si>
    <t>2025-12-23</t>
  </si>
  <si>
    <t>Customer_6457</t>
  </si>
  <si>
    <t>ORD00744</t>
  </si>
  <si>
    <t>Customer_9443</t>
  </si>
  <si>
    <t>ORD00746</t>
  </si>
  <si>
    <t>2025-01-26</t>
  </si>
  <si>
    <t>Customer_2710</t>
  </si>
  <si>
    <t>ORD00747</t>
  </si>
  <si>
    <t>ORD00748</t>
  </si>
  <si>
    <t>Customer_5345</t>
  </si>
  <si>
    <t>ORD00749</t>
  </si>
  <si>
    <t>Customer_1616</t>
  </si>
  <si>
    <t>ORD00750</t>
  </si>
  <si>
    <t>Customer_4388</t>
  </si>
  <si>
    <t>ORD00751</t>
  </si>
  <si>
    <t>Customer_8286</t>
  </si>
  <si>
    <t>ORD00752</t>
  </si>
  <si>
    <t>Customer_3601</t>
  </si>
  <si>
    <t>ORD00753</t>
  </si>
  <si>
    <t>2025-05-12</t>
  </si>
  <si>
    <t>Customer_3325</t>
  </si>
  <si>
    <t>ORD00754</t>
  </si>
  <si>
    <t>Customer_6201</t>
  </si>
  <si>
    <t>ORD00755</t>
  </si>
  <si>
    <t>Customer_6582</t>
  </si>
  <si>
    <t>ORD00756</t>
  </si>
  <si>
    <t>2025-08-20</t>
  </si>
  <si>
    <t>ORD00757</t>
  </si>
  <si>
    <t>Customer_3889</t>
  </si>
  <si>
    <t>ORD00758</t>
  </si>
  <si>
    <t>Customer_9504</t>
  </si>
  <si>
    <t>ORD00759</t>
  </si>
  <si>
    <t>2025-11-05</t>
  </si>
  <si>
    <t>Customer_8031</t>
  </si>
  <si>
    <t>ORD00760</t>
  </si>
  <si>
    <t>2025-08-31</t>
  </si>
  <si>
    <t>Customer_3113</t>
  </si>
  <si>
    <t>ORD00761</t>
  </si>
  <si>
    <t>Customer_9915</t>
  </si>
  <si>
    <t>ORD00762</t>
  </si>
  <si>
    <t>Customer_6862</t>
  </si>
  <si>
    <t>ORD00763</t>
  </si>
  <si>
    <t>Customer_1490</t>
  </si>
  <si>
    <t>ORD00764</t>
  </si>
  <si>
    <t>Customer_3423</t>
  </si>
  <si>
    <t>ORD00765</t>
  </si>
  <si>
    <t>Customer_3512</t>
  </si>
  <si>
    <t>ORD00766</t>
  </si>
  <si>
    <t>2025-03-07</t>
  </si>
  <si>
    <t>Customer_3347</t>
  </si>
  <si>
    <t>ORD00767</t>
  </si>
  <si>
    <t>2025-06-09</t>
  </si>
  <si>
    <t>Customer_2854</t>
  </si>
  <si>
    <t>ORD00768</t>
  </si>
  <si>
    <t>Customer_2815</t>
  </si>
  <si>
    <t>ORD00769</t>
  </si>
  <si>
    <t>2025-03-20</t>
  </si>
  <si>
    <t>Customer_1999</t>
  </si>
  <si>
    <t>ORD00770</t>
  </si>
  <si>
    <t>ORD00771</t>
  </si>
  <si>
    <t>Customer_2006</t>
  </si>
  <si>
    <t>ORD00772</t>
  </si>
  <si>
    <t>Customer_7896</t>
  </si>
  <si>
    <t>ORD00773</t>
  </si>
  <si>
    <t>Customer_3159</t>
  </si>
  <si>
    <t>ORD00774</t>
  </si>
  <si>
    <t>Customer_7898</t>
  </si>
  <si>
    <t>ORD00775</t>
  </si>
  <si>
    <t>2025-02-26</t>
  </si>
  <si>
    <t>Customer_5084</t>
  </si>
  <si>
    <t>ORD00776</t>
  </si>
  <si>
    <t>Customer_4669</t>
  </si>
  <si>
    <t>ORD00777</t>
  </si>
  <si>
    <t>Customer_8027</t>
  </si>
  <si>
    <t>ORD00778</t>
  </si>
  <si>
    <t>Customer_1858</t>
  </si>
  <si>
    <t>ORD00779</t>
  </si>
  <si>
    <t>Customer_8584</t>
  </si>
  <si>
    <t>ORD00780</t>
  </si>
  <si>
    <t>Customer_4596</t>
  </si>
  <si>
    <t>ORD00781</t>
  </si>
  <si>
    <t>2025-10-06</t>
  </si>
  <si>
    <t>Customer_7034</t>
  </si>
  <si>
    <t>ORD00782</t>
  </si>
  <si>
    <t>ORD00783</t>
  </si>
  <si>
    <t>Customer_4407</t>
  </si>
  <si>
    <t>ORD00784</t>
  </si>
  <si>
    <t>2025-06-25</t>
  </si>
  <si>
    <t>ORD00785</t>
  </si>
  <si>
    <t>Customer_2662</t>
  </si>
  <si>
    <t>ORD00786</t>
  </si>
  <si>
    <t>Customer_7367</t>
  </si>
  <si>
    <t>ORD00787</t>
  </si>
  <si>
    <t>Customer_9577</t>
  </si>
  <si>
    <t>ORD00788</t>
  </si>
  <si>
    <t>2025-09-28</t>
  </si>
  <si>
    <t>Customer_8536</t>
  </si>
  <si>
    <t>ORD00789</t>
  </si>
  <si>
    <t>Customer_6973</t>
  </si>
  <si>
    <t>ORD00790</t>
  </si>
  <si>
    <t>Customer_3652</t>
  </si>
  <si>
    <t>ORD00791</t>
  </si>
  <si>
    <t>Customer_3570</t>
  </si>
  <si>
    <t>ORD00792</t>
  </si>
  <si>
    <t>Customer_9392</t>
  </si>
  <si>
    <t>ORD00793</t>
  </si>
  <si>
    <t>Customer_9627</t>
  </si>
  <si>
    <t>ORD00794</t>
  </si>
  <si>
    <t>Customer_6854</t>
  </si>
  <si>
    <t>ORD00795</t>
  </si>
  <si>
    <t>Customer_4266</t>
  </si>
  <si>
    <t>ORD00796</t>
  </si>
  <si>
    <t>Customer_5181</t>
  </si>
  <si>
    <t>ORD00797</t>
  </si>
  <si>
    <t>Customer_7211</t>
  </si>
  <si>
    <t>ORD00799</t>
  </si>
  <si>
    <t>Customer_5891</t>
  </si>
  <si>
    <t>ORD00800</t>
  </si>
  <si>
    <t>ORD00801</t>
  </si>
  <si>
    <t>Customer_8422</t>
  </si>
  <si>
    <t>ORD00802</t>
  </si>
  <si>
    <t>Customer_4261</t>
  </si>
  <si>
    <t>ORD00803</t>
  </si>
  <si>
    <t>ORD00804</t>
  </si>
  <si>
    <t>Customer_8455</t>
  </si>
  <si>
    <t>ORD00805</t>
  </si>
  <si>
    <t>Customer_5441</t>
  </si>
  <si>
    <t>ORD00806</t>
  </si>
  <si>
    <t>Customer_1860</t>
  </si>
  <si>
    <t>ORD00807</t>
  </si>
  <si>
    <t>Customer_8341</t>
  </si>
  <si>
    <t>ORD00808</t>
  </si>
  <si>
    <t>Customer_7703</t>
  </si>
  <si>
    <t>ORD00809</t>
  </si>
  <si>
    <t>Customer_6526</t>
  </si>
  <si>
    <t>ORD00811</t>
  </si>
  <si>
    <t>Customer_4147</t>
  </si>
  <si>
    <t>ORD00812</t>
  </si>
  <si>
    <t>Customer_2859</t>
  </si>
  <si>
    <t>ORD00813</t>
  </si>
  <si>
    <t>Customer_4342</t>
  </si>
  <si>
    <t>ORD00814</t>
  </si>
  <si>
    <t>Customer_4311</t>
  </si>
  <si>
    <t>ORD00815</t>
  </si>
  <si>
    <t>Customer_5679</t>
  </si>
  <si>
    <t>ORD00816</t>
  </si>
  <si>
    <t>Customer_3193</t>
  </si>
  <si>
    <t>ORD00818</t>
  </si>
  <si>
    <t>Customer_3721</t>
  </si>
  <si>
    <t>ORD00819</t>
  </si>
  <si>
    <t>Customer_1076</t>
  </si>
  <si>
    <t>ORD00820</t>
  </si>
  <si>
    <t>Customer_7868</t>
  </si>
  <si>
    <t>ORD00821</t>
  </si>
  <si>
    <t>Customer_5068</t>
  </si>
  <si>
    <t>ORD00822</t>
  </si>
  <si>
    <t>Customer_8617</t>
  </si>
  <si>
    <t>ORD00823</t>
  </si>
  <si>
    <t>Customer_9739</t>
  </si>
  <si>
    <t>ORD00825</t>
  </si>
  <si>
    <t>Customer_2048</t>
  </si>
  <si>
    <t>ORD00826</t>
  </si>
  <si>
    <t>Customer_5773</t>
  </si>
  <si>
    <t>ORD00827</t>
  </si>
  <si>
    <t>Customer_2601</t>
  </si>
  <si>
    <t>ORD00828</t>
  </si>
  <si>
    <t>Customer_6313</t>
  </si>
  <si>
    <t>ORD00829</t>
  </si>
  <si>
    <t>Customer_5874</t>
  </si>
  <si>
    <t>ORD00830</t>
  </si>
  <si>
    <t>Customer_1721</t>
  </si>
  <si>
    <t>ORD00831</t>
  </si>
  <si>
    <t>Customer_9825</t>
  </si>
  <si>
    <t>ORD00832</t>
  </si>
  <si>
    <t>ORD00833</t>
  </si>
  <si>
    <t>Customer_6386</t>
  </si>
  <si>
    <t>ORD00834</t>
  </si>
  <si>
    <t>Customer_6614</t>
  </si>
  <si>
    <t>ORD00835</t>
  </si>
  <si>
    <t>Customer_5330</t>
  </si>
  <si>
    <t>ORD00836</t>
  </si>
  <si>
    <t>Customer_6642</t>
  </si>
  <si>
    <t>ORD00837</t>
  </si>
  <si>
    <t>ORD00838</t>
  </si>
  <si>
    <t>Customer_4372</t>
  </si>
  <si>
    <t>ORD00839</t>
  </si>
  <si>
    <t>Customer_5715</t>
  </si>
  <si>
    <t>ORD00840</t>
  </si>
  <si>
    <t>ORD00842</t>
  </si>
  <si>
    <t>Customer_6209</t>
  </si>
  <si>
    <t>ORD00844</t>
  </si>
  <si>
    <t>2025-10-13</t>
  </si>
  <si>
    <t>Customer_3988</t>
  </si>
  <si>
    <t>ORD00845</t>
  </si>
  <si>
    <t>Customer_2447</t>
  </si>
  <si>
    <t>ORD00846</t>
  </si>
  <si>
    <t>Customer_6967</t>
  </si>
  <si>
    <t>ORD00847</t>
  </si>
  <si>
    <t>Customer_4987</t>
  </si>
  <si>
    <t>ORD00848</t>
  </si>
  <si>
    <t>Customer_9647</t>
  </si>
  <si>
    <t>ORD00849</t>
  </si>
  <si>
    <t>Customer_8670</t>
  </si>
  <si>
    <t>ORD00850</t>
  </si>
  <si>
    <t>2025-05-14</t>
  </si>
  <si>
    <t>Customer_9148</t>
  </si>
  <si>
    <t>ORD00851</t>
  </si>
  <si>
    <t>Customer_8150</t>
  </si>
  <si>
    <t>ORD00852</t>
  </si>
  <si>
    <t>Customer_8473</t>
  </si>
  <si>
    <t>ORD00853</t>
  </si>
  <si>
    <t>ORD00854</t>
  </si>
  <si>
    <t>Customer_6708</t>
  </si>
  <si>
    <t>ORD00855</t>
  </si>
  <si>
    <t>2025-01-09</t>
  </si>
  <si>
    <t>Customer_8121</t>
  </si>
  <si>
    <t>ORD00856</t>
  </si>
  <si>
    <t>Customer_8907</t>
  </si>
  <si>
    <t>ORD00857</t>
  </si>
  <si>
    <t>Customer_5140</t>
  </si>
  <si>
    <t>ORD00858</t>
  </si>
  <si>
    <t>ORD00859</t>
  </si>
  <si>
    <t>Customer_4058</t>
  </si>
  <si>
    <t>ORD00860</t>
  </si>
  <si>
    <t>Customer_8587</t>
  </si>
  <si>
    <t>ORD00861</t>
  </si>
  <si>
    <t>Customer_9940</t>
  </si>
  <si>
    <t>ORD00862</t>
  </si>
  <si>
    <t>Customer_7338</t>
  </si>
  <si>
    <t>ORD00863</t>
  </si>
  <si>
    <t>Customer_5779</t>
  </si>
  <si>
    <t>ORD00864</t>
  </si>
  <si>
    <t>2025-12-03</t>
  </si>
  <si>
    <t>Customer_1523</t>
  </si>
  <si>
    <t>ORD00866</t>
  </si>
  <si>
    <t>Customer_8251</t>
  </si>
  <si>
    <t>ORD00867</t>
  </si>
  <si>
    <t>Customer_5105</t>
  </si>
  <si>
    <t>ORD00868</t>
  </si>
  <si>
    <t>Customer_7908</t>
  </si>
  <si>
    <t>ORD00870</t>
  </si>
  <si>
    <t>Customer_4766</t>
  </si>
  <si>
    <t>ORD00871</t>
  </si>
  <si>
    <t>Customer_9983</t>
  </si>
  <si>
    <t>ORD00872</t>
  </si>
  <si>
    <t>Customer_2148</t>
  </si>
  <si>
    <t>ORD00873</t>
  </si>
  <si>
    <t>Customer_2998</t>
  </si>
  <si>
    <t>ORD00874</t>
  </si>
  <si>
    <t>Customer_7045</t>
  </si>
  <si>
    <t>ORD00875</t>
  </si>
  <si>
    <t>Customer_6869</t>
  </si>
  <si>
    <t>ORD00876</t>
  </si>
  <si>
    <t>Customer_3774</t>
  </si>
  <si>
    <t>ORD00877</t>
  </si>
  <si>
    <t>Customer_2434</t>
  </si>
  <si>
    <t>ORD00878</t>
  </si>
  <si>
    <t>Customer_4515</t>
  </si>
  <si>
    <t>ORD00879</t>
  </si>
  <si>
    <t>Customer_4035</t>
  </si>
  <si>
    <t>ORD00880</t>
  </si>
  <si>
    <t>Customer_8743</t>
  </si>
  <si>
    <t>ORD00881</t>
  </si>
  <si>
    <t>Customer_8465</t>
  </si>
  <si>
    <t>ORD00882</t>
  </si>
  <si>
    <t>Customer_5234</t>
  </si>
  <si>
    <t>ORD00883</t>
  </si>
  <si>
    <t>2025-06-06</t>
  </si>
  <si>
    <t>Customer_4602</t>
  </si>
  <si>
    <t>ORD00884</t>
  </si>
  <si>
    <t>ORD00885</t>
  </si>
  <si>
    <t>Customer_4814</t>
  </si>
  <si>
    <t>ORD00886</t>
  </si>
  <si>
    <t>Customer_7153</t>
  </si>
  <si>
    <t>ORD00887</t>
  </si>
  <si>
    <t>Customer_8216</t>
  </si>
  <si>
    <t>ORD00888</t>
  </si>
  <si>
    <t>Customer_3904</t>
  </si>
  <si>
    <t>ORD00889</t>
  </si>
  <si>
    <t>Customer_2084</t>
  </si>
  <si>
    <t>ORD00890</t>
  </si>
  <si>
    <t>Customer_3770</t>
  </si>
  <si>
    <t>ORD00891</t>
  </si>
  <si>
    <t>ORD00892</t>
  </si>
  <si>
    <t>Customer_9826</t>
  </si>
  <si>
    <t>ORD00893</t>
  </si>
  <si>
    <t>2025-01-27</t>
  </si>
  <si>
    <t>Customer_7204</t>
  </si>
  <si>
    <t>ORD00894</t>
  </si>
  <si>
    <t>Customer_6254</t>
  </si>
  <si>
    <t>ORD00895</t>
  </si>
  <si>
    <t>2025-02-28</t>
  </si>
  <si>
    <t>Customer_8242</t>
  </si>
  <si>
    <t>ORD00896</t>
  </si>
  <si>
    <t>ORD00897</t>
  </si>
  <si>
    <t>Customer_4186</t>
  </si>
  <si>
    <t>ORD00898</t>
  </si>
  <si>
    <t>Customer_3405</t>
  </si>
  <si>
    <t>ORD00899</t>
  </si>
  <si>
    <t>Customer_6448</t>
  </si>
  <si>
    <t>ORD00901</t>
  </si>
  <si>
    <t>Customer_6703</t>
  </si>
  <si>
    <t>ORD00902</t>
  </si>
  <si>
    <t>Customer_9969</t>
  </si>
  <si>
    <t>ORD00904</t>
  </si>
  <si>
    <t>Customer_3401</t>
  </si>
  <si>
    <t>ORD00905</t>
  </si>
  <si>
    <t>Customer_7102</t>
  </si>
  <si>
    <t>ORD00906</t>
  </si>
  <si>
    <t>Customer_5656</t>
  </si>
  <si>
    <t>ORD00907</t>
  </si>
  <si>
    <t>Customer_8366</t>
  </si>
  <si>
    <t>ORD00908</t>
  </si>
  <si>
    <t>Customer_8586</t>
  </si>
  <si>
    <t>ORD00909</t>
  </si>
  <si>
    <t>Customer_5657</t>
  </si>
  <si>
    <t>ORD00910</t>
  </si>
  <si>
    <t>Customer_4500</t>
  </si>
  <si>
    <t>ORD00911</t>
  </si>
  <si>
    <t>Customer_9272</t>
  </si>
  <si>
    <t>ORD00912</t>
  </si>
  <si>
    <t>Customer_7664</t>
  </si>
  <si>
    <t>ORD00913</t>
  </si>
  <si>
    <t>Customer_7564</t>
  </si>
  <si>
    <t>ORD00914</t>
  </si>
  <si>
    <t>Customer_9948</t>
  </si>
  <si>
    <t>ORD00915</t>
  </si>
  <si>
    <t>Customer_6738</t>
  </si>
  <si>
    <t>ORD00916</t>
  </si>
  <si>
    <t>ORD00917</t>
  </si>
  <si>
    <t>2025-09-11</t>
  </si>
  <si>
    <t>Customer_5632</t>
  </si>
  <si>
    <t>ORD00918</t>
  </si>
  <si>
    <t>Customer_2631</t>
  </si>
  <si>
    <t>ORD00919</t>
  </si>
  <si>
    <t>Customer_5224</t>
  </si>
  <si>
    <t>ORD00920</t>
  </si>
  <si>
    <t>Customer_2140</t>
  </si>
  <si>
    <t>ORD00921</t>
  </si>
  <si>
    <t>Customer_9656</t>
  </si>
  <si>
    <t>ORD00922</t>
  </si>
  <si>
    <t>Customer_5051</t>
  </si>
  <si>
    <t>ORD00923</t>
  </si>
  <si>
    <t>Customer_4560</t>
  </si>
  <si>
    <t>ORD00924</t>
  </si>
  <si>
    <t>Customer_7951</t>
  </si>
  <si>
    <t>ORD00925</t>
  </si>
  <si>
    <t>Customer_1078</t>
  </si>
  <si>
    <t>ORD00926</t>
  </si>
  <si>
    <t>Customer_4201</t>
  </si>
  <si>
    <t>ORD00927</t>
  </si>
  <si>
    <t>Customer_2453</t>
  </si>
  <si>
    <t>ORD00928</t>
  </si>
  <si>
    <t>Customer_2931</t>
  </si>
  <si>
    <t>ORD00929</t>
  </si>
  <si>
    <t>Customer_1353</t>
  </si>
  <si>
    <t>ORD00930</t>
  </si>
  <si>
    <t>Customer_4743</t>
  </si>
  <si>
    <t>ORD00931</t>
  </si>
  <si>
    <t>Customer_9782</t>
  </si>
  <si>
    <t>ORD00932</t>
  </si>
  <si>
    <t>Customer_1334</t>
  </si>
  <si>
    <t>ORD00933</t>
  </si>
  <si>
    <t>2025-11-25</t>
  </si>
  <si>
    <t>Customer_1475</t>
  </si>
  <si>
    <t>ORD00934</t>
  </si>
  <si>
    <t>Customer_9510</t>
  </si>
  <si>
    <t>ORD00935</t>
  </si>
  <si>
    <t>Customer_6361</t>
  </si>
  <si>
    <t>ORD00936</t>
  </si>
  <si>
    <t>Customer_2685</t>
  </si>
  <si>
    <t>ORD00937</t>
  </si>
  <si>
    <t>Customer_2794</t>
  </si>
  <si>
    <t>ORD00938</t>
  </si>
  <si>
    <t>Customer_6111</t>
  </si>
  <si>
    <t>ORD00939</t>
  </si>
  <si>
    <t>Customer_1406</t>
  </si>
  <si>
    <t>ORD00940</t>
  </si>
  <si>
    <t>Customer_8959</t>
  </si>
  <si>
    <t>ORD00941</t>
  </si>
  <si>
    <t>Customer_1717</t>
  </si>
  <si>
    <t>ORD00942</t>
  </si>
  <si>
    <t>Customer_4099</t>
  </si>
  <si>
    <t>ORD00943</t>
  </si>
  <si>
    <t>Customer_2492</t>
  </si>
  <si>
    <t>ORD00944</t>
  </si>
  <si>
    <t>Customer_8022</t>
  </si>
  <si>
    <t>ORD00945</t>
  </si>
  <si>
    <t>Customer_7587</t>
  </si>
  <si>
    <t>ORD00946</t>
  </si>
  <si>
    <t>Customer_5302</t>
  </si>
  <si>
    <t>ORD00947</t>
  </si>
  <si>
    <t>Customer_5253</t>
  </si>
  <si>
    <t>ORD00948</t>
  </si>
  <si>
    <t>Customer_7857</t>
  </si>
  <si>
    <t>ORD00950</t>
  </si>
  <si>
    <t>Customer_3076</t>
  </si>
  <si>
    <t>ORD00951</t>
  </si>
  <si>
    <t>Customer_5118</t>
  </si>
  <si>
    <t>ORD00952</t>
  </si>
  <si>
    <t>Customer_7581</t>
  </si>
  <si>
    <t>ORD00954</t>
  </si>
  <si>
    <t>2025-12-17</t>
  </si>
  <si>
    <t>Customer_3958</t>
  </si>
  <si>
    <t>ORD00955</t>
  </si>
  <si>
    <t>Customer_3354</t>
  </si>
  <si>
    <t>ORD00956</t>
  </si>
  <si>
    <t>Customer_1052</t>
  </si>
  <si>
    <t>ORD00957</t>
  </si>
  <si>
    <t>Customer_7440</t>
  </si>
  <si>
    <t>ORD00958</t>
  </si>
  <si>
    <t>ORD00959</t>
  </si>
  <si>
    <t>Customer_3593</t>
  </si>
  <si>
    <t>ORD00960</t>
  </si>
  <si>
    <t>Customer_5152</t>
  </si>
  <si>
    <t>ORD00961</t>
  </si>
  <si>
    <t>Customer_5683</t>
  </si>
  <si>
    <t>ORD00962</t>
  </si>
  <si>
    <t>Customer_6898</t>
  </si>
  <si>
    <t>ORD00963</t>
  </si>
  <si>
    <t>2025-06-15</t>
  </si>
  <si>
    <t>Customer_3521</t>
  </si>
  <si>
    <t>ORD00964</t>
  </si>
  <si>
    <t>Customer_4632</t>
  </si>
  <si>
    <t>ORD00965</t>
  </si>
  <si>
    <t>Customer_9659</t>
  </si>
  <si>
    <t>ORD00966</t>
  </si>
  <si>
    <t>2025-12-02</t>
  </si>
  <si>
    <t>Customer_7436</t>
  </si>
  <si>
    <t>ORD00967</t>
  </si>
  <si>
    <t>Customer_6332</t>
  </si>
  <si>
    <t>ORD00968</t>
  </si>
  <si>
    <t>Customer_9157</t>
  </si>
  <si>
    <t>ORD00969</t>
  </si>
  <si>
    <t>Customer_5684</t>
  </si>
  <si>
    <t>ORD00970</t>
  </si>
  <si>
    <t>Customer_4445</t>
  </si>
  <si>
    <t>ORD00971</t>
  </si>
  <si>
    <t>Customer_7866</t>
  </si>
  <si>
    <t>ORD00972</t>
  </si>
  <si>
    <t>Customer_4697</t>
  </si>
  <si>
    <t>ORD00973</t>
  </si>
  <si>
    <t>Customer_8126</t>
  </si>
  <si>
    <t>ORD00974</t>
  </si>
  <si>
    <t>Customer_7863</t>
  </si>
  <si>
    <t>ORD00975</t>
  </si>
  <si>
    <t>Customer_3153</t>
  </si>
  <si>
    <t>ORD00976</t>
  </si>
  <si>
    <t>Customer_7399</t>
  </si>
  <si>
    <t>ORD00978</t>
  </si>
  <si>
    <t>Customer_6963</t>
  </si>
  <si>
    <t>ORD00979</t>
  </si>
  <si>
    <t>Customer_3410</t>
  </si>
  <si>
    <t>ORD00980</t>
  </si>
  <si>
    <t>Customer_1943</t>
  </si>
  <si>
    <t>ORD00981</t>
  </si>
  <si>
    <t>Customer_7701</t>
  </si>
  <si>
    <t>ORD00982</t>
  </si>
  <si>
    <t>Customer_8147</t>
  </si>
  <si>
    <t>ORD00983</t>
  </si>
  <si>
    <t>Customer_6743</t>
  </si>
  <si>
    <t>ORD00984</t>
  </si>
  <si>
    <t>Customer_9397</t>
  </si>
  <si>
    <t>ORD00985</t>
  </si>
  <si>
    <t>Customer_2407</t>
  </si>
  <si>
    <t>ORD00986</t>
  </si>
  <si>
    <t>Customer_8320</t>
  </si>
  <si>
    <t>ORD00987</t>
  </si>
  <si>
    <t>Customer_1516</t>
  </si>
  <si>
    <t>ORD00988</t>
  </si>
  <si>
    <t>Customer_5417</t>
  </si>
  <si>
    <t>ORD00989</t>
  </si>
  <si>
    <t>Customer_7318</t>
  </si>
  <si>
    <t>ORD00990</t>
  </si>
  <si>
    <t>Customer_1376</t>
  </si>
  <si>
    <t>ORD00991</t>
  </si>
  <si>
    <t>Customer_9159</t>
  </si>
  <si>
    <t>ORD00992</t>
  </si>
  <si>
    <t>Customer_9535</t>
  </si>
  <si>
    <t>ORD00993</t>
  </si>
  <si>
    <t>Customer_4526</t>
  </si>
  <si>
    <t>ORD00994</t>
  </si>
  <si>
    <t>ORD00995</t>
  </si>
  <si>
    <t>Customer_8618</t>
  </si>
  <si>
    <t>ORD00996</t>
  </si>
  <si>
    <t>Customer_2003</t>
  </si>
  <si>
    <t>ORD00997</t>
  </si>
  <si>
    <t>ORD00998</t>
  </si>
  <si>
    <t>Customer_6509</t>
  </si>
  <si>
    <t>ORD00999</t>
  </si>
  <si>
    <t>Customer_9456</t>
  </si>
  <si>
    <t>ORD01000</t>
  </si>
  <si>
    <t>Customer_8935</t>
  </si>
  <si>
    <t>Month</t>
  </si>
  <si>
    <t>Year</t>
  </si>
  <si>
    <t>Percentage</t>
  </si>
  <si>
    <t>Row Labels</t>
  </si>
  <si>
    <t>Grand Total</t>
  </si>
  <si>
    <t>Sum of Sales_Amount</t>
  </si>
  <si>
    <t>Mar</t>
  </si>
  <si>
    <t>May</t>
  </si>
  <si>
    <t>Sep</t>
  </si>
  <si>
    <t>Month wise sales</t>
  </si>
  <si>
    <t>Region wise sales</t>
  </si>
  <si>
    <t>Category wise sales</t>
  </si>
  <si>
    <t>Product wise sales</t>
  </si>
  <si>
    <t>Jul</t>
  </si>
  <si>
    <t>Aug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</si>
</sst>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sz val="11"/>
      <name val="Calibri"/>
    </font>
    <font>
      <b/>
      <sz val="11"/>
      <color rgb="FFFFFFFF"/>
      <name val="Calibri"/>
    </font>
    <font>
      <b/>
      <sz val="11"/>
      <color rgb="FFFFFFFF"/>
      <name val="Calibri"/>
      <family val="2"/>
    </font>
    <font>
      <b/>
      <sz val="11"/>
      <color theme="1"/>
      <name val="Calibri"/>
      <family val="2"/>
      <scheme val="minor"/>
    </font>
    <font>
      <sz val="11"/>
      <color theme="0"/>
      <name val="Calibri"/>
      <family val="2"/>
      <scheme val="minor"/>
    </font>
  </fonts>
  <fills count="5">
    <fill>
      <patternFill patternType="none"/>
    </fill>
    <fill>
      <patternFill patternType="gray125"/>
    </fill>
    <fill>
      <patternFill patternType="solid">
        <fgColor rgb="FF1F4E78"/>
        <bgColor rgb="FF1F4E78"/>
      </patternFill>
    </fill>
    <fill>
      <patternFill patternType="solid">
        <fgColor theme="0"/>
        <bgColor indexed="64"/>
      </patternFill>
    </fill>
    <fill>
      <patternFill patternType="solid">
        <fgColor theme="0" tint="-0.14999847407452621"/>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style="thin">
        <color indexed="65"/>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s>
  <cellStyleXfs count="1">
    <xf numFmtId="0" fontId="0" fillId="0" borderId="0"/>
  </cellStyleXfs>
  <cellXfs count="22">
    <xf numFmtId="0" fontId="0" fillId="0" borderId="0" xfId="0"/>
    <xf numFmtId="0" fontId="1" fillId="0" borderId="0" xfId="0" applyFont="1"/>
    <xf numFmtId="0" fontId="2" fillId="2" borderId="0" xfId="0" applyFont="1" applyFill="1"/>
    <xf numFmtId="0" fontId="3" fillId="2" borderId="0" xfId="0" applyFont="1" applyFill="1"/>
    <xf numFmtId="0" fontId="3" fillId="2" borderId="0" xfId="0" applyFont="1" applyFill="1" applyAlignment="1">
      <alignment horizontal="left"/>
    </xf>
    <xf numFmtId="0" fontId="0" fillId="0" borderId="0" xfId="0" applyAlignment="1">
      <alignment horizontal="left"/>
    </xf>
    <xf numFmtId="2" fontId="0" fillId="0" borderId="0" xfId="0" applyNumberFormat="1" applyAlignment="1">
      <alignment horizontal="left"/>
    </xf>
    <xf numFmtId="0" fontId="5" fillId="3" borderId="0" xfId="0" applyFont="1" applyFill="1"/>
    <xf numFmtId="0" fontId="0" fillId="3" borderId="0" xfId="0" applyFill="1"/>
    <xf numFmtId="0" fontId="0" fillId="0" borderId="2" xfId="0" pivotButton="1" applyBorder="1" applyAlignment="1">
      <alignment horizontal="center"/>
    </xf>
    <xf numFmtId="0" fontId="0" fillId="0" borderId="3" xfId="0" applyBorder="1" applyAlignment="1">
      <alignment horizontal="center"/>
    </xf>
    <xf numFmtId="0" fontId="0" fillId="0" borderId="2" xfId="0" applyBorder="1" applyAlignment="1">
      <alignment horizontal="left"/>
    </xf>
    <xf numFmtId="0" fontId="0" fillId="0" borderId="3" xfId="0" applyBorder="1"/>
    <xf numFmtId="0" fontId="0" fillId="0" borderId="4" xfId="0" applyBorder="1" applyAlignment="1">
      <alignment horizontal="left"/>
    </xf>
    <xf numFmtId="0" fontId="0" fillId="0" borderId="6" xfId="0" applyBorder="1" applyAlignment="1">
      <alignment horizontal="left"/>
    </xf>
    <xf numFmtId="0" fontId="0" fillId="0" borderId="2" xfId="0" pivotButton="1" applyBorder="1"/>
    <xf numFmtId="0" fontId="0" fillId="4" borderId="0" xfId="0" applyFill="1"/>
    <xf numFmtId="0" fontId="4" fillId="3" borderId="1" xfId="0" applyFont="1" applyFill="1" applyBorder="1" applyAlignment="1">
      <alignment horizontal="center"/>
    </xf>
    <xf numFmtId="0" fontId="0" fillId="3" borderId="1" xfId="0" applyFill="1" applyBorder="1" applyAlignment="1">
      <alignment horizontal="center"/>
    </xf>
    <xf numFmtId="0" fontId="0" fillId="0" borderId="3" xfId="0" applyNumberFormat="1" applyBorder="1"/>
    <xf numFmtId="0" fontId="0" fillId="0" borderId="5" xfId="0" applyNumberFormat="1" applyBorder="1"/>
    <xf numFmtId="0" fontId="0" fillId="0" borderId="7" xfId="0" applyNumberFormat="1" applyBorder="1"/>
  </cellXfs>
  <cellStyles count="1">
    <cellStyle name="Normal" xfId="0" builtinId="0"/>
  </cellStyles>
  <dxfs count="7">
    <dxf>
      <numFmt numFmtId="2" formatCode="0.00"/>
      <alignment horizontal="left" vertical="bottom" textRotation="0" wrapText="0" relativeIndent="-1" justifyLastLine="0" shrinkToFit="0" readingOrder="0"/>
    </dxf>
    <dxf>
      <numFmt numFmtId="0" formatCode="General"/>
    </dxf>
    <dxf>
      <numFmt numFmtId="0" formatCode="General"/>
    </dxf>
    <dxf>
      <font>
        <b/>
        <i val="0"/>
        <strike val="0"/>
        <condense val="0"/>
        <extend val="0"/>
        <outline val="0"/>
        <shadow val="0"/>
        <u val="none"/>
        <vertAlign val="baseline"/>
        <sz val="11"/>
        <color rgb="FFFFFFFF"/>
        <name val="Calibri"/>
        <scheme val="none"/>
      </font>
      <fill>
        <patternFill patternType="solid">
          <fgColor rgb="FF1F4E78"/>
          <bgColor rgb="FF1F4E78"/>
        </patternFill>
      </fill>
    </dxf>
    <dxf>
      <fill>
        <patternFill>
          <bgColor theme="2" tint="-9.9948118533890809E-2"/>
        </patternFill>
      </fill>
    </dxf>
    <dxf>
      <fill>
        <patternFill>
          <bgColor theme="2" tint="-9.9948118533890809E-2"/>
        </patternFill>
      </fill>
    </dxf>
    <dxf>
      <fill>
        <patternFill>
          <bgColor theme="2" tint="-9.9948118533890809E-2"/>
        </patternFill>
      </fill>
    </dxf>
  </dxfs>
  <tableStyles count="3" defaultTableStyle="TableStyleMedium9" defaultPivotStyle="PivotStyleLight16">
    <tableStyle name="PivotTable Style 1" table="0" count="1" xr9:uid="{0C724215-E570-450E-A6A2-7485E36FF231}">
      <tableStyleElement type="wholeTable" dxfId="6"/>
    </tableStyle>
    <tableStyle name="Slicer Style 1" pivot="0" table="0" count="1" xr9:uid="{4C2B9248-F153-4168-83D5-695FE0812EB3}">
      <tableStyleElement type="wholeTable" dxfId="5"/>
    </tableStyle>
    <tableStyle name="Slicer Style 2" pivot="0" table="0" count="3" xr9:uid="{8A07DBC8-683D-4AA6-B5B0-0FFDB75EA5B2}">
      <tableStyleElement type="wholeTable" dxfId="4"/>
    </tableStyle>
  </tableStyles>
  <extLst>
    <ext xmlns:x14="http://schemas.microsoft.com/office/spreadsheetml/2009/9/main" uri="{46F421CA-312F-682f-3DD2-61675219B42D}">
      <x14:dxfs count="2">
        <dxf>
          <fill>
            <patternFill>
              <bgColor theme="6" tint="0.39994506668294322"/>
            </patternFill>
          </fill>
        </dxf>
        <dxf>
          <fill>
            <patternFill>
              <bgColor theme="0" tint="-0.34998626667073579"/>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microsoft.com/office/2017/10/relationships/person" Target="persons/perso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[Real_Company_Excel_Practice_Project.xlsm]Sheet1!PivotTable1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s>
    <c:plotArea>
      <c:layout/>
      <c:doughnutChart>
        <c:varyColors val="1"/>
        <c:ser>
          <c:idx val="0"/>
          <c:order val="0"/>
          <c:tx>
            <c:strRef>
              <c:f>Sheet1!$B$10</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D72-47CB-9BBB-C5E39AAB6CAE}"/>
              </c:ext>
            </c:extLst>
          </c:dPt>
          <c:dPt>
            <c:idx val="1"/>
            <c:bubble3D val="0"/>
            <c:spPr>
              <a:solidFill>
                <a:schemeClr val="accent2"/>
              </a:solidFill>
              <a:ln>
                <a:noFill/>
              </a:ln>
              <a:effectLst/>
            </c:spPr>
            <c:extLst>
              <c:ext xmlns:c16="http://schemas.microsoft.com/office/drawing/2014/chart" uri="{C3380CC4-5D6E-409C-BE32-E72D297353CC}">
                <c16:uniqueId val="{00000003-5D72-47CB-9BBB-C5E39AAB6CAE}"/>
              </c:ext>
            </c:extLst>
          </c:dPt>
          <c:dPt>
            <c:idx val="2"/>
            <c:bubble3D val="0"/>
            <c:spPr>
              <a:solidFill>
                <a:schemeClr val="accent3"/>
              </a:solidFill>
              <a:ln>
                <a:noFill/>
              </a:ln>
              <a:effectLst/>
            </c:spPr>
            <c:extLst>
              <c:ext xmlns:c16="http://schemas.microsoft.com/office/drawing/2014/chart" uri="{C3380CC4-5D6E-409C-BE32-E72D297353CC}">
                <c16:uniqueId val="{00000005-5D72-47CB-9BBB-C5E39AAB6CAE}"/>
              </c:ext>
            </c:extLst>
          </c:dPt>
          <c:dPt>
            <c:idx val="3"/>
            <c:bubble3D val="0"/>
            <c:spPr>
              <a:solidFill>
                <a:schemeClr val="accent4"/>
              </a:solidFill>
              <a:ln>
                <a:noFill/>
              </a:ln>
              <a:effectLst/>
            </c:spPr>
            <c:extLst>
              <c:ext xmlns:c16="http://schemas.microsoft.com/office/drawing/2014/chart" uri="{C3380CC4-5D6E-409C-BE32-E72D297353CC}">
                <c16:uniqueId val="{00000007-5D72-47CB-9BBB-C5E39AAB6CAE}"/>
              </c:ext>
            </c:extLst>
          </c:dPt>
          <c:dPt>
            <c:idx val="4"/>
            <c:bubble3D val="0"/>
            <c:spPr>
              <a:solidFill>
                <a:schemeClr val="accent5"/>
              </a:solidFill>
              <a:ln>
                <a:noFill/>
              </a:ln>
              <a:effectLst/>
            </c:spPr>
            <c:extLst>
              <c:ext xmlns:c16="http://schemas.microsoft.com/office/drawing/2014/chart" uri="{C3380CC4-5D6E-409C-BE32-E72D297353CC}">
                <c16:uniqueId val="{00000009-5D72-47CB-9BBB-C5E39AAB6CA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Sheet1!$A$11:$A$16</c:f>
              <c:strCache>
                <c:ptCount val="5"/>
                <c:pt idx="0">
                  <c:v>Mar</c:v>
                </c:pt>
                <c:pt idx="1">
                  <c:v>May</c:v>
                </c:pt>
                <c:pt idx="2">
                  <c:v>Jul</c:v>
                </c:pt>
                <c:pt idx="3">
                  <c:v>Aug</c:v>
                </c:pt>
                <c:pt idx="4">
                  <c:v>Sep</c:v>
                </c:pt>
              </c:strCache>
            </c:strRef>
          </c:cat>
          <c:val>
            <c:numRef>
              <c:f>Sheet1!$B$11:$B$16</c:f>
              <c:numCache>
                <c:formatCode>General</c:formatCode>
                <c:ptCount val="5"/>
                <c:pt idx="0">
                  <c:v>5421781</c:v>
                </c:pt>
                <c:pt idx="1">
                  <c:v>5637865</c:v>
                </c:pt>
                <c:pt idx="2">
                  <c:v>5791895</c:v>
                </c:pt>
                <c:pt idx="3">
                  <c:v>5396820</c:v>
                </c:pt>
                <c:pt idx="4">
                  <c:v>5407494</c:v>
                </c:pt>
              </c:numCache>
            </c:numRef>
          </c:val>
          <c:extLst>
            <c:ext xmlns:c16="http://schemas.microsoft.com/office/drawing/2014/chart" uri="{C3380CC4-5D6E-409C-BE32-E72D297353CC}">
              <c16:uniqueId val="{00000000-4DBB-4DCC-B604-7073E11A1EE9}"/>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65000"/>
          <a:lumOff val="3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[Real_Company_Excel_Practice_Project.xlsm]Sheet1!PivotTable2</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458547528730046"/>
          <c:y val="0.1267005906666808"/>
          <c:w val="0.6978885453709911"/>
          <c:h val="0.72919120503360502"/>
        </c:manualLayout>
      </c:layout>
      <c:lineChart>
        <c:grouping val="standard"/>
        <c:varyColors val="0"/>
        <c:ser>
          <c:idx val="0"/>
          <c:order val="0"/>
          <c:tx>
            <c:strRef>
              <c:f>Sheet1!$E$10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Sheet1!$D$11:$D$15</c:f>
              <c:strCache>
                <c:ptCount val="4"/>
                <c:pt idx="0">
                  <c:v>East</c:v>
                </c:pt>
                <c:pt idx="1">
                  <c:v>North</c:v>
                </c:pt>
                <c:pt idx="2">
                  <c:v>South</c:v>
                </c:pt>
                <c:pt idx="3">
                  <c:v>West</c:v>
                </c:pt>
              </c:strCache>
            </c:strRef>
          </c:cat>
          <c:val>
            <c:numRef>
              <c:f>Sheet1!$E$11:$E$15</c:f>
              <c:numCache>
                <c:formatCode>General</c:formatCode>
                <c:ptCount val="4"/>
                <c:pt idx="0">
                  <c:v>16593807</c:v>
                </c:pt>
                <c:pt idx="1">
                  <c:v>14859388</c:v>
                </c:pt>
                <c:pt idx="2">
                  <c:v>13257771</c:v>
                </c:pt>
                <c:pt idx="3">
                  <c:v>16009177</c:v>
                </c:pt>
              </c:numCache>
            </c:numRef>
          </c:val>
          <c:smooth val="0"/>
          <c:extLst>
            <c:ext xmlns:c16="http://schemas.microsoft.com/office/drawing/2014/chart" uri="{C3380CC4-5D6E-409C-BE32-E72D297353CC}">
              <c16:uniqueId val="{00000000-1093-4864-A4C0-AB2A3CADD6AB}"/>
            </c:ext>
          </c:extLst>
        </c:ser>
        <c:dLbls>
          <c:showLegendKey val="0"/>
          <c:showVal val="0"/>
          <c:showCatName val="0"/>
          <c:showSerName val="0"/>
          <c:showPercent val="0"/>
          <c:showBubbleSize val="0"/>
        </c:dLbls>
        <c:marker val="1"/>
        <c:smooth val="0"/>
        <c:axId val="331919040"/>
        <c:axId val="331920480"/>
      </c:lineChart>
      <c:catAx>
        <c:axId val="33191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920480"/>
        <c:crosses val="autoZero"/>
        <c:auto val="1"/>
        <c:lblAlgn val="ctr"/>
        <c:lblOffset val="100"/>
        <c:noMultiLvlLbl val="0"/>
      </c:catAx>
      <c:valAx>
        <c:axId val="331920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31919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65000"/>
          <a:lumOff val="3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[Real_Company_Excel_Practice_Project.xlsm]Sheet1!PivotTable3</c:name>
    <c:fmtId val="0"/>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a:sp3d/>
        </c:spPr>
      </c:pivotFmt>
      <c:pivotFmt>
        <c:idx val="2"/>
        <c:spPr>
          <a:solidFill>
            <a:schemeClr val="accent1"/>
          </a:solidFill>
          <a:ln w="19050">
            <a:noFill/>
          </a:ln>
          <a:effectLst/>
          <a:sp3d/>
        </c:spPr>
      </c:pivotFmt>
      <c:pivotFmt>
        <c:idx val="3"/>
        <c:spPr>
          <a:solidFill>
            <a:schemeClr val="accent1"/>
          </a:solidFill>
          <a:ln w="19050">
            <a:noFill/>
          </a:ln>
          <a:effectLst/>
          <a:sp3d/>
        </c:spPr>
      </c:pivotFmt>
      <c:pivotFmt>
        <c:idx val="4"/>
        <c:spPr>
          <a:solidFill>
            <a:schemeClr val="accent1"/>
          </a:solidFill>
          <a:ln w="19050">
            <a:noFill/>
          </a:ln>
          <a:effectLst/>
          <a:sp3d/>
        </c:spPr>
      </c:pivotFmt>
      <c:pivotFmt>
        <c:idx val="5"/>
        <c:spPr>
          <a:solidFill>
            <a:schemeClr val="accent1"/>
          </a:solidFill>
          <a:ln w="19050">
            <a:noFill/>
          </a:ln>
          <a:effectLst/>
          <a:sp3d/>
        </c:spPr>
      </c:pivotFmt>
    </c:pivotFmts>
    <c:plotArea>
      <c:layout/>
      <c:barChart>
        <c:barDir val="col"/>
        <c:grouping val="clustered"/>
        <c:varyColors val="0"/>
        <c:ser>
          <c:idx val="0"/>
          <c:order val="0"/>
          <c:tx>
            <c:strRef>
              <c:f>Sheet1!$H$10</c:f>
              <c:strCache>
                <c:ptCount val="1"/>
                <c:pt idx="0">
                  <c:v>Total</c:v>
                </c:pt>
              </c:strCache>
            </c:strRef>
          </c:tx>
          <c:spPr>
            <a:solidFill>
              <a:schemeClr val="accent1"/>
            </a:solidFill>
            <a:ln w="19050">
              <a:noFill/>
            </a:ln>
            <a:effectLst/>
          </c:spPr>
          <c:invertIfNegative val="0"/>
          <c:dPt>
            <c:idx val="0"/>
            <c:invertIfNegative val="0"/>
            <c:bubble3D val="0"/>
            <c:spPr>
              <a:solidFill>
                <a:schemeClr val="accent1"/>
              </a:solidFill>
              <a:ln w="19050">
                <a:noFill/>
              </a:ln>
              <a:effectLst/>
              <a:sp3d/>
            </c:spPr>
            <c:extLst>
              <c:ext xmlns:c16="http://schemas.microsoft.com/office/drawing/2014/chart" uri="{C3380CC4-5D6E-409C-BE32-E72D297353CC}">
                <c16:uniqueId val="{00000001-A2E6-41F1-86E8-E4D27AA54B6E}"/>
              </c:ext>
            </c:extLst>
          </c:dPt>
          <c:dPt>
            <c:idx val="1"/>
            <c:invertIfNegative val="0"/>
            <c:bubble3D val="0"/>
            <c:spPr>
              <a:solidFill>
                <a:schemeClr val="accent1"/>
              </a:solidFill>
              <a:ln w="19050">
                <a:noFill/>
              </a:ln>
              <a:effectLst/>
              <a:sp3d/>
            </c:spPr>
            <c:extLst>
              <c:ext xmlns:c16="http://schemas.microsoft.com/office/drawing/2014/chart" uri="{C3380CC4-5D6E-409C-BE32-E72D297353CC}">
                <c16:uniqueId val="{00000003-A2E6-41F1-86E8-E4D27AA54B6E}"/>
              </c:ext>
            </c:extLst>
          </c:dPt>
          <c:dPt>
            <c:idx val="2"/>
            <c:invertIfNegative val="0"/>
            <c:bubble3D val="0"/>
            <c:spPr>
              <a:solidFill>
                <a:schemeClr val="accent1"/>
              </a:solidFill>
              <a:ln w="19050">
                <a:noFill/>
              </a:ln>
              <a:effectLst/>
              <a:sp3d/>
            </c:spPr>
            <c:extLst>
              <c:ext xmlns:c16="http://schemas.microsoft.com/office/drawing/2014/chart" uri="{C3380CC4-5D6E-409C-BE32-E72D297353CC}">
                <c16:uniqueId val="{00000005-A2E6-41F1-86E8-E4D27AA54B6E}"/>
              </c:ext>
            </c:extLst>
          </c:dPt>
          <c:dPt>
            <c:idx val="3"/>
            <c:invertIfNegative val="0"/>
            <c:bubble3D val="0"/>
            <c:spPr>
              <a:solidFill>
                <a:schemeClr val="accent1"/>
              </a:solidFill>
              <a:ln w="19050">
                <a:noFill/>
              </a:ln>
              <a:effectLst/>
              <a:sp3d/>
            </c:spPr>
            <c:extLst>
              <c:ext xmlns:c16="http://schemas.microsoft.com/office/drawing/2014/chart" uri="{C3380CC4-5D6E-409C-BE32-E72D297353CC}">
                <c16:uniqueId val="{00000007-A2E6-41F1-86E8-E4D27AA54B6E}"/>
              </c:ext>
            </c:extLst>
          </c:dPt>
          <c:dPt>
            <c:idx val="4"/>
            <c:invertIfNegative val="0"/>
            <c:bubble3D val="0"/>
            <c:spPr>
              <a:solidFill>
                <a:schemeClr val="accent1"/>
              </a:solidFill>
              <a:ln w="19050">
                <a:noFill/>
              </a:ln>
              <a:effectLst/>
              <a:sp3d/>
            </c:spPr>
            <c:extLst>
              <c:ext xmlns:c16="http://schemas.microsoft.com/office/drawing/2014/chart" uri="{C3380CC4-5D6E-409C-BE32-E72D297353CC}">
                <c16:uniqueId val="{00000009-A2E6-41F1-86E8-E4D27AA54B6E}"/>
              </c:ext>
            </c:extLst>
          </c:dPt>
          <c:cat>
            <c:strRef>
              <c:f>Sheet1!$G$11:$G$16</c:f>
              <c:strCache>
                <c:ptCount val="5"/>
                <c:pt idx="0">
                  <c:v>Accessories</c:v>
                </c:pt>
                <c:pt idx="1">
                  <c:v>Electronics</c:v>
                </c:pt>
                <c:pt idx="2">
                  <c:v>Furniture</c:v>
                </c:pt>
                <c:pt idx="3">
                  <c:v>Networking</c:v>
                </c:pt>
                <c:pt idx="4">
                  <c:v>Office</c:v>
                </c:pt>
              </c:strCache>
            </c:strRef>
          </c:cat>
          <c:val>
            <c:numRef>
              <c:f>Sheet1!$H$11:$H$16</c:f>
              <c:numCache>
                <c:formatCode>General</c:formatCode>
                <c:ptCount val="5"/>
                <c:pt idx="0">
                  <c:v>14474191</c:v>
                </c:pt>
                <c:pt idx="1">
                  <c:v>25729735</c:v>
                </c:pt>
                <c:pt idx="2">
                  <c:v>7471625</c:v>
                </c:pt>
                <c:pt idx="3">
                  <c:v>6246185</c:v>
                </c:pt>
                <c:pt idx="4">
                  <c:v>6798407</c:v>
                </c:pt>
              </c:numCache>
            </c:numRef>
          </c:val>
          <c:extLst>
            <c:ext xmlns:c16="http://schemas.microsoft.com/office/drawing/2014/chart" uri="{C3380CC4-5D6E-409C-BE32-E72D297353CC}">
              <c16:uniqueId val="{00000000-9496-45F7-9983-F527205F3DE2}"/>
            </c:ext>
          </c:extLst>
        </c:ser>
        <c:dLbls>
          <c:showLegendKey val="0"/>
          <c:showVal val="0"/>
          <c:showCatName val="0"/>
          <c:showSerName val="0"/>
          <c:showPercent val="0"/>
          <c:showBubbleSize val="0"/>
        </c:dLbls>
        <c:gapWidth val="100"/>
        <c:axId val="1929353664"/>
        <c:axId val="1929357504"/>
      </c:barChart>
      <c:catAx>
        <c:axId val="1929353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9357504"/>
        <c:crosses val="autoZero"/>
        <c:auto val="1"/>
        <c:lblAlgn val="ctr"/>
        <c:lblOffset val="100"/>
        <c:noMultiLvlLbl val="0"/>
      </c:catAx>
      <c:valAx>
        <c:axId val="192935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9353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65000"/>
          <a:lumOff val="3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[Real_Company_Excel_Practice_Project.xlsm]Sheet1!PivotTable4</c:name>
    <c:fmtId val="0"/>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Sheet1!$K$10</c:f>
              <c:strCache>
                <c:ptCount val="1"/>
                <c:pt idx="0">
                  <c:v>Total</c:v>
                </c:pt>
              </c:strCache>
            </c:strRef>
          </c:tx>
          <c:spPr>
            <a:solidFill>
              <a:schemeClr val="accent1"/>
            </a:solidFill>
            <a:ln>
              <a:noFill/>
            </a:ln>
            <a:effectLst/>
            <a:sp3d/>
          </c:spPr>
          <c:invertIfNegative val="0"/>
          <c:cat>
            <c:strRef>
              <c:f>Sheet1!$J$11:$J$16</c:f>
              <c:strCache>
                <c:ptCount val="5"/>
                <c:pt idx="0">
                  <c:v>Desk Chair</c:v>
                </c:pt>
                <c:pt idx="1">
                  <c:v>Monitor</c:v>
                </c:pt>
                <c:pt idx="2">
                  <c:v>Mouse</c:v>
                </c:pt>
                <c:pt idx="3">
                  <c:v>Printer</c:v>
                </c:pt>
                <c:pt idx="4">
                  <c:v>Tablet</c:v>
                </c:pt>
              </c:strCache>
            </c:strRef>
          </c:cat>
          <c:val>
            <c:numRef>
              <c:f>Sheet1!$K$11:$K$16</c:f>
              <c:numCache>
                <c:formatCode>General</c:formatCode>
                <c:ptCount val="5"/>
                <c:pt idx="0">
                  <c:v>7471625</c:v>
                </c:pt>
                <c:pt idx="1">
                  <c:v>6981920</c:v>
                </c:pt>
                <c:pt idx="2">
                  <c:v>7704766</c:v>
                </c:pt>
                <c:pt idx="3">
                  <c:v>6798407</c:v>
                </c:pt>
                <c:pt idx="4">
                  <c:v>7393131</c:v>
                </c:pt>
              </c:numCache>
            </c:numRef>
          </c:val>
          <c:extLst>
            <c:ext xmlns:c16="http://schemas.microsoft.com/office/drawing/2014/chart" uri="{C3380CC4-5D6E-409C-BE32-E72D297353CC}">
              <c16:uniqueId val="{00000000-D5ED-42F0-A099-89056012B19A}"/>
            </c:ext>
          </c:extLst>
        </c:ser>
        <c:dLbls>
          <c:showLegendKey val="0"/>
          <c:showVal val="0"/>
          <c:showCatName val="0"/>
          <c:showSerName val="0"/>
          <c:showPercent val="0"/>
          <c:showBubbleSize val="0"/>
        </c:dLbls>
        <c:gapWidth val="150"/>
        <c:shape val="box"/>
        <c:axId val="742008576"/>
        <c:axId val="741998496"/>
        <c:axId val="0"/>
      </c:bar3DChart>
      <c:catAx>
        <c:axId val="7420085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998496"/>
        <c:crosses val="autoZero"/>
        <c:auto val="1"/>
        <c:lblAlgn val="ctr"/>
        <c:lblOffset val="100"/>
        <c:noMultiLvlLbl val="0"/>
      </c:catAx>
      <c:valAx>
        <c:axId val="7419984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7420085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65000"/>
          <a:lumOff val="3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31" fmlaLink="$M$1" max="5" min="1" page="10" val="5"/>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jpeg"/><Relationship Id="rId5" Type="http://schemas.openxmlformats.org/officeDocument/2006/relationships/image" Target="../media/image1.jpe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944301</xdr:colOff>
      <xdr:row>0</xdr:row>
      <xdr:rowOff>29201</xdr:rowOff>
    </xdr:from>
    <xdr:to>
      <xdr:col>9</xdr:col>
      <xdr:colOff>103487</xdr:colOff>
      <xdr:row>3</xdr:row>
      <xdr:rowOff>133455</xdr:rowOff>
    </xdr:to>
    <xdr:sp macro="" textlink="$M$1">
      <xdr:nvSpPr>
        <xdr:cNvPr id="4" name="Rectangle 3">
          <a:extLst>
            <a:ext uri="{FF2B5EF4-FFF2-40B4-BE49-F238E27FC236}">
              <a16:creationId xmlns:a16="http://schemas.microsoft.com/office/drawing/2014/main" id="{49BCD253-CDAE-E87C-92A9-16D39B3898F5}"/>
            </a:ext>
          </a:extLst>
        </xdr:cNvPr>
        <xdr:cNvSpPr/>
      </xdr:nvSpPr>
      <xdr:spPr>
        <a:xfrm>
          <a:off x="7371531" y="29201"/>
          <a:ext cx="1047024" cy="64486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1" algn="ctr"/>
          <a:fld id="{71C85B4B-01BF-4ECE-AAFD-81755CE04D41}" type="TxLink">
            <a:rPr lang="en-US" sz="3000" b="0" i="0" u="none" strike="noStrike">
              <a:solidFill>
                <a:srgbClr val="000000"/>
              </a:solidFill>
              <a:latin typeface="Calibri"/>
              <a:ea typeface="Calibri"/>
              <a:cs typeface="Calibri"/>
            </a:rPr>
            <a:pPr lvl="1" algn="ctr"/>
            <a:t>5</a:t>
          </a:fld>
          <a:endParaRPr lang="en-IN" sz="3000"/>
        </a:p>
      </xdr:txBody>
    </xdr:sp>
    <xdr:clientData/>
  </xdr:twoCellAnchor>
  <xdr:twoCellAnchor editAs="oneCell">
    <xdr:from>
      <xdr:col>6</xdr:col>
      <xdr:colOff>45398</xdr:colOff>
      <xdr:row>4</xdr:row>
      <xdr:rowOff>102973</xdr:rowOff>
    </xdr:from>
    <xdr:to>
      <xdr:col>10</xdr:col>
      <xdr:colOff>1280277</xdr:colOff>
      <xdr:row>6</xdr:row>
      <xdr:rowOff>178594</xdr:rowOff>
    </xdr:to>
    <mc:AlternateContent xmlns:mc="http://schemas.openxmlformats.org/markup-compatibility/2006" xmlns:a14="http://schemas.microsoft.com/office/drawing/2010/main">
      <mc:Choice Requires="a14">
        <xdr:graphicFrame macro="">
          <xdr:nvGraphicFramePr>
            <xdr:cNvPr id="6" name="Payment_Mode">
              <a:extLst>
                <a:ext uri="{FF2B5EF4-FFF2-40B4-BE49-F238E27FC236}">
                  <a16:creationId xmlns:a16="http://schemas.microsoft.com/office/drawing/2014/main" id="{81DF3EFE-21DD-78A1-CEBF-B28DAB61E0D5}"/>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Payment_Mode"/>
            </a:graphicData>
          </a:graphic>
        </xdr:graphicFrame>
      </mc:Choice>
      <mc:Fallback xmlns="">
        <xdr:sp macro="" textlink="">
          <xdr:nvSpPr>
            <xdr:cNvPr id="0" name=""/>
            <xdr:cNvSpPr>
              <a:spLocks noTextEdit="1"/>
            </xdr:cNvSpPr>
          </xdr:nvSpPr>
          <xdr:spPr>
            <a:xfrm>
              <a:off x="5672475" y="845435"/>
              <a:ext cx="4722494" cy="4468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59532</xdr:colOff>
      <xdr:row>16</xdr:row>
      <xdr:rowOff>86279</xdr:rowOff>
    </xdr:from>
    <xdr:to>
      <xdr:col>4</xdr:col>
      <xdr:colOff>1220391</xdr:colOff>
      <xdr:row>29</xdr:row>
      <xdr:rowOff>59532</xdr:rowOff>
    </xdr:to>
    <xdr:graphicFrame macro="">
      <xdr:nvGraphicFramePr>
        <xdr:cNvPr id="8" name="Chart 7">
          <a:extLst>
            <a:ext uri="{FF2B5EF4-FFF2-40B4-BE49-F238E27FC236}">
              <a16:creationId xmlns:a16="http://schemas.microsoft.com/office/drawing/2014/main" id="{0B1E5436-1AB6-1C03-23FF-27E18C248D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100483</xdr:colOff>
      <xdr:row>30</xdr:row>
      <xdr:rowOff>114612</xdr:rowOff>
    </xdr:from>
    <xdr:to>
      <xdr:col>5</xdr:col>
      <xdr:colOff>200805</xdr:colOff>
      <xdr:row>44</xdr:row>
      <xdr:rowOff>49609</xdr:rowOff>
    </xdr:to>
    <xdr:graphicFrame macro="">
      <xdr:nvGraphicFramePr>
        <xdr:cNvPr id="9" name="Chart 8">
          <a:extLst>
            <a:ext uri="{FF2B5EF4-FFF2-40B4-BE49-F238E27FC236}">
              <a16:creationId xmlns:a16="http://schemas.microsoft.com/office/drawing/2014/main" id="{B136B6C2-B54C-331A-5817-8403BD3C98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465823</xdr:colOff>
      <xdr:row>16</xdr:row>
      <xdr:rowOff>80032</xdr:rowOff>
    </xdr:from>
    <xdr:to>
      <xdr:col>10</xdr:col>
      <xdr:colOff>1383740</xdr:colOff>
      <xdr:row>28</xdr:row>
      <xdr:rowOff>85298</xdr:rowOff>
    </xdr:to>
    <xdr:graphicFrame macro="">
      <xdr:nvGraphicFramePr>
        <xdr:cNvPr id="10" name="Chart 9">
          <a:extLst>
            <a:ext uri="{FF2B5EF4-FFF2-40B4-BE49-F238E27FC236}">
              <a16:creationId xmlns:a16="http://schemas.microsoft.com/office/drawing/2014/main" id="{1D8C5716-AB50-A1B0-FB67-C0E39C3E7D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21981</xdr:colOff>
      <xdr:row>29</xdr:row>
      <xdr:rowOff>113986</xdr:rowOff>
    </xdr:from>
    <xdr:to>
      <xdr:col>11</xdr:col>
      <xdr:colOff>0</xdr:colOff>
      <xdr:row>44</xdr:row>
      <xdr:rowOff>93470</xdr:rowOff>
    </xdr:to>
    <xdr:graphicFrame macro="">
      <xdr:nvGraphicFramePr>
        <xdr:cNvPr id="11" name="Chart 10">
          <a:extLst>
            <a:ext uri="{FF2B5EF4-FFF2-40B4-BE49-F238E27FC236}">
              <a16:creationId xmlns:a16="http://schemas.microsoft.com/office/drawing/2014/main" id="{5B86E7B9-3B88-4F4E-02CD-4111552BA0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88900</xdr:colOff>
      <xdr:row>0</xdr:row>
      <xdr:rowOff>63500</xdr:rowOff>
    </xdr:from>
    <xdr:to>
      <xdr:col>1</xdr:col>
      <xdr:colOff>939800</xdr:colOff>
      <xdr:row>3</xdr:row>
      <xdr:rowOff>127000</xdr:rowOff>
    </xdr:to>
    <xdr:sp macro="" textlink="">
      <xdr:nvSpPr>
        <xdr:cNvPr id="12" name="Arrow: Right 11">
          <a:extLst>
            <a:ext uri="{FF2B5EF4-FFF2-40B4-BE49-F238E27FC236}">
              <a16:creationId xmlns:a16="http://schemas.microsoft.com/office/drawing/2014/main" id="{DB26FF63-A4E7-EAEF-B0B4-D3FC3DB7A0E0}"/>
            </a:ext>
          </a:extLst>
        </xdr:cNvPr>
        <xdr:cNvSpPr/>
      </xdr:nvSpPr>
      <xdr:spPr>
        <a:xfrm>
          <a:off x="88900" y="63500"/>
          <a:ext cx="1575197" cy="629047"/>
        </a:xfrm>
        <a:prstGeom prst="rightArrow">
          <a:avLst>
            <a:gd name="adj1" fmla="val 100000"/>
            <a:gd name="adj2"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108000" rIns="180000" bIns="432000" rtlCol="0" anchor="t" anchorCtr="1"/>
        <a:lstStyle/>
        <a:p>
          <a:pPr algn="l"/>
          <a:r>
            <a:rPr lang="en-IN" sz="2400">
              <a:solidFill>
                <a:schemeClr val="lt1"/>
              </a:solidFill>
            </a:rPr>
            <a:t>CHARTS</a:t>
          </a:r>
          <a:endParaRPr lang="en-IN" sz="1800">
            <a:solidFill>
              <a:schemeClr val="lt1"/>
            </a:solidFill>
          </a:endParaRPr>
        </a:p>
        <a:p>
          <a:pPr algn="l"/>
          <a:endParaRPr lang="en-IN" sz="1800"/>
        </a:p>
      </xdr:txBody>
    </xdr:sp>
    <xdr:clientData/>
  </xdr:twoCellAnchor>
  <xdr:twoCellAnchor>
    <xdr:from>
      <xdr:col>9</xdr:col>
      <xdr:colOff>361803</xdr:colOff>
      <xdr:row>0</xdr:row>
      <xdr:rowOff>50800</xdr:rowOff>
    </xdr:from>
    <xdr:to>
      <xdr:col>10</xdr:col>
      <xdr:colOff>1352550</xdr:colOff>
      <xdr:row>3</xdr:row>
      <xdr:rowOff>114300</xdr:rowOff>
    </xdr:to>
    <xdr:sp macro="" textlink="">
      <xdr:nvSpPr>
        <xdr:cNvPr id="13" name="Arrow: Right 12">
          <a:extLst>
            <a:ext uri="{FF2B5EF4-FFF2-40B4-BE49-F238E27FC236}">
              <a16:creationId xmlns:a16="http://schemas.microsoft.com/office/drawing/2014/main" id="{C9C4049B-ABE0-4854-B914-432519789563}"/>
            </a:ext>
          </a:extLst>
        </xdr:cNvPr>
        <xdr:cNvSpPr/>
      </xdr:nvSpPr>
      <xdr:spPr>
        <a:xfrm flipH="1">
          <a:off x="8690640" y="50800"/>
          <a:ext cx="1780805" cy="617279"/>
        </a:xfrm>
        <a:prstGeom prst="rightArrow">
          <a:avLst>
            <a:gd name="adj1" fmla="val 100000"/>
            <a:gd name="adj2"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108000" rIns="0" rtlCol="0" anchor="t" anchorCtr="1"/>
        <a:lstStyle/>
        <a:p>
          <a:pPr algn="l"/>
          <a:r>
            <a:rPr lang="en-IN" sz="2400"/>
            <a:t>RECORDS</a:t>
          </a:r>
          <a:endParaRPr lang="en-IN" sz="2000"/>
        </a:p>
      </xdr:txBody>
    </xdr:sp>
    <xdr:clientData/>
  </xdr:twoCellAnchor>
  <mc:AlternateContent xmlns:mc="http://schemas.openxmlformats.org/markup-compatibility/2006">
    <mc:Choice xmlns:a14="http://schemas.microsoft.com/office/drawing/2010/main" Requires="a14">
      <xdr:twoCellAnchor>
        <xdr:from>
          <xdr:col>7</xdr:col>
          <xdr:colOff>1003300</xdr:colOff>
          <xdr:row>0</xdr:row>
          <xdr:rowOff>76200</xdr:rowOff>
        </xdr:from>
        <xdr:to>
          <xdr:col>8</xdr:col>
          <xdr:colOff>152400</xdr:colOff>
          <xdr:row>3</xdr:row>
          <xdr:rowOff>69850</xdr:rowOff>
        </xdr:to>
        <xdr:sp macro="" textlink="">
          <xdr:nvSpPr>
            <xdr:cNvPr id="1025" name="Spinner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0</xdr:colOff>
      <xdr:row>4</xdr:row>
      <xdr:rowOff>94391</xdr:rowOff>
    </xdr:from>
    <xdr:to>
      <xdr:col>5</xdr:col>
      <xdr:colOff>256126</xdr:colOff>
      <xdr:row>7</xdr:row>
      <xdr:rowOff>25742</xdr:rowOff>
    </xdr:to>
    <mc:AlternateContent xmlns:mc="http://schemas.openxmlformats.org/markup-compatibility/2006" xmlns:a14="http://schemas.microsoft.com/office/drawing/2010/main">
      <mc:Choice Requires="a14">
        <xdr:graphicFrame macro="">
          <xdr:nvGraphicFramePr>
            <xdr:cNvPr id="14" name="Salesperson">
              <a:extLst>
                <a:ext uri="{FF2B5EF4-FFF2-40B4-BE49-F238E27FC236}">
                  <a16:creationId xmlns:a16="http://schemas.microsoft.com/office/drawing/2014/main" id="{70EDAAF1-F6FC-6B07-5DC2-7DC143D16668}"/>
                </a:ext>
              </a:extLst>
            </xdr:cNvPr>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0" y="830623"/>
              <a:ext cx="5271706" cy="4835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1044408</xdr:colOff>
      <xdr:row>0</xdr:row>
      <xdr:rowOff>19142</xdr:rowOff>
    </xdr:from>
    <xdr:to>
      <xdr:col>3</xdr:col>
      <xdr:colOff>52049</xdr:colOff>
      <xdr:row>3</xdr:row>
      <xdr:rowOff>167723</xdr:rowOff>
    </xdr:to>
    <xdr:pic macro="[0]!Hide_botton">
      <xdr:nvPicPr>
        <xdr:cNvPr id="19" name="Open Eye">
          <a:extLst>
            <a:ext uri="{FF2B5EF4-FFF2-40B4-BE49-F238E27FC236}">
              <a16:creationId xmlns:a16="http://schemas.microsoft.com/office/drawing/2014/main" id="{E10180AB-5169-F7E8-7A20-D641F144F5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769627" y="19142"/>
          <a:ext cx="933460" cy="700302"/>
        </a:xfrm>
        <a:prstGeom prst="rect">
          <a:avLst/>
        </a:prstGeom>
      </xdr:spPr>
    </xdr:pic>
    <xdr:clientData/>
  </xdr:twoCellAnchor>
  <xdr:twoCellAnchor editAs="oneCell">
    <xdr:from>
      <xdr:col>1</xdr:col>
      <xdr:colOff>1044453</xdr:colOff>
      <xdr:row>0</xdr:row>
      <xdr:rowOff>6940</xdr:rowOff>
    </xdr:from>
    <xdr:to>
      <xdr:col>3</xdr:col>
      <xdr:colOff>105378</xdr:colOff>
      <xdr:row>3</xdr:row>
      <xdr:rowOff>169684</xdr:rowOff>
    </xdr:to>
    <xdr:pic macro="[0]!show_botton">
      <xdr:nvPicPr>
        <xdr:cNvPr id="23" name="Close Eye" hidden="1">
          <a:extLst>
            <a:ext uri="{FF2B5EF4-FFF2-40B4-BE49-F238E27FC236}">
              <a16:creationId xmlns:a16="http://schemas.microsoft.com/office/drawing/2014/main" id="{4E4AD83E-2527-A421-6174-378D560E0C1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769672" y="6940"/>
          <a:ext cx="986744" cy="7144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VIJAY K G" refreshedDate="46184.598493750003" missingItemsLimit="0" createdVersion="8" refreshedVersion="8" minRefreshableVersion="3" recordCount="959" xr:uid="{6D35A231-3004-4716-9401-DC360B374301}">
  <cacheSource type="worksheet">
    <worksheetSource name="Table1"/>
  </cacheSource>
  <cacheFields count="16">
    <cacheField name="Order_ID" numFmtId="0">
      <sharedItems/>
    </cacheField>
    <cacheField name="Order_Date" numFmtId="0">
      <sharedItems/>
    </cacheField>
    <cacheField name="Month" numFmtId="0">
      <sharedItems count="12">
        <s v="Jul"/>
        <s v="Dec"/>
        <s v="Mar"/>
        <s v="Feb"/>
        <s v="May"/>
        <s v="Jan"/>
        <s v="Sep"/>
        <s v="Oct"/>
        <s v="Apr"/>
        <s v="Jun"/>
        <s v="Aug"/>
        <s v="Nov"/>
      </sharedItems>
    </cacheField>
    <cacheField name="Year" numFmtId="0">
      <sharedItems containsSemiMixedTypes="0" containsString="0" containsNumber="1" containsInteger="1" minValue="2025" maxValue="2026"/>
    </cacheField>
    <cacheField name="Region" numFmtId="0">
      <sharedItems count="4">
        <s v="East"/>
        <s v="West"/>
        <s v="North"/>
        <s v="South"/>
      </sharedItems>
    </cacheField>
    <cacheField name="City" numFmtId="0">
      <sharedItems/>
    </cacheField>
    <cacheField name="Salesperson" numFmtId="0">
      <sharedItems count="8">
        <s v="Amit"/>
        <s v="Rahul"/>
        <s v="Neha"/>
        <s v="Vijay"/>
        <s v="Kiran"/>
        <s v="Sneha"/>
        <s v="Priya"/>
        <s v="Arjun"/>
      </sharedItems>
    </cacheField>
    <cacheField name="Customer_Name" numFmtId="0">
      <sharedItems/>
    </cacheField>
    <cacheField name="Product" numFmtId="0">
      <sharedItems count="9">
        <s v="Tablet"/>
        <s v="Monitor"/>
        <s v="Laptop"/>
        <s v="Desk Chair"/>
        <s v="Mouse"/>
        <s v="Router"/>
        <s v="Keyboard"/>
        <s v="Speaker"/>
        <s v="Printer"/>
      </sharedItems>
    </cacheField>
    <cacheField name="Category" numFmtId="0">
      <sharedItems count="5">
        <s v="Electronics"/>
        <s v="Furniture"/>
        <s v="Accessories"/>
        <s v="Networking"/>
        <s v="Office"/>
      </sharedItems>
    </cacheField>
    <cacheField name="Units_Sold" numFmtId="0">
      <sharedItems containsSemiMixedTypes="0" containsString="0" containsNumber="1" containsInteger="1" minValue="1" maxValue="25"/>
    </cacheField>
    <cacheField name="Sales_Amount" numFmtId="0">
      <sharedItems containsSemiMixedTypes="0" containsString="0" containsNumber="1" containsInteger="1" minValue="3148" maxValue="119995"/>
    </cacheField>
    <cacheField name="Cost_Amount" numFmtId="0">
      <sharedItems containsSemiMixedTypes="0" containsString="0" containsNumber="1" containsInteger="1" minValue="1654" maxValue="101060"/>
    </cacheField>
    <cacheField name="Profit" numFmtId="0">
      <sharedItems containsSemiMixedTypes="0" containsString="0" containsNumber="1" containsInteger="1" minValue="779" maxValue="64099"/>
    </cacheField>
    <cacheField name="Percentage" numFmtId="2">
      <sharedItems containsSemiMixedTypes="0" containsString="0" containsNumber="1" minValue="0.1500503329719684" maxValue="0.54988216810683421"/>
    </cacheField>
    <cacheField name="Payment_Mode" numFmtId="0">
      <sharedItems count="4">
        <s v="UPI"/>
        <s v="Net Banking"/>
        <s v="Cash"/>
        <s v="Card"/>
      </sharedItems>
    </cacheField>
  </cacheFields>
  <extLst>
    <ext xmlns:x14="http://schemas.microsoft.com/office/spreadsheetml/2009/9/main" uri="{725AE2AE-9491-48be-B2B4-4EB974FC3084}">
      <x14:pivotCacheDefinition pivotCacheId="13566574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9">
  <r>
    <s v="ORD00001"/>
    <s v="2025-07-04"/>
    <x v="0"/>
    <n v="2025"/>
    <x v="0"/>
    <s v="Kolkata"/>
    <x v="0"/>
    <s v="Customer_7901"/>
    <x v="0"/>
    <x v="0"/>
    <n v="18"/>
    <n v="86384"/>
    <n v="63380"/>
    <n v="23004"/>
    <n v="0.26629931468790519"/>
    <x v="0"/>
  </r>
  <r>
    <s v="ORD00002"/>
    <s v="2025-12-26"/>
    <x v="1"/>
    <n v="2025"/>
    <x v="1"/>
    <s v="Mumbai"/>
    <x v="1"/>
    <s v="Customer_4822"/>
    <x v="1"/>
    <x v="0"/>
    <n v="20"/>
    <n v="41990"/>
    <n v="20198"/>
    <n v="21792"/>
    <n v="0.51898070969278398"/>
    <x v="1"/>
  </r>
  <r>
    <s v="ORD00003"/>
    <s v="2025-03-06"/>
    <x v="2"/>
    <n v="2025"/>
    <x v="2"/>
    <s v="Chandigarh"/>
    <x v="2"/>
    <s v="Customer_5585"/>
    <x v="2"/>
    <x v="0"/>
    <n v="23"/>
    <n v="92549"/>
    <n v="75570"/>
    <n v="16979"/>
    <n v="0.18345957276685865"/>
    <x v="0"/>
  </r>
  <r>
    <s v="ORD00004"/>
    <s v="2025-02-16"/>
    <x v="3"/>
    <n v="2025"/>
    <x v="1"/>
    <s v="Mumbai"/>
    <x v="3"/>
    <s v="Customer_5931"/>
    <x v="0"/>
    <x v="0"/>
    <n v="21"/>
    <n v="78579"/>
    <n v="52104"/>
    <n v="26475"/>
    <n v="0.3369220784178979"/>
    <x v="0"/>
  </r>
  <r>
    <s v="ORD00005"/>
    <s v="2025-02-13"/>
    <x v="3"/>
    <n v="2025"/>
    <x v="0"/>
    <s v="Bhubaneswar"/>
    <x v="3"/>
    <s v="Customer_8955"/>
    <x v="3"/>
    <x v="1"/>
    <n v="5"/>
    <n v="84740"/>
    <n v="61171"/>
    <n v="23569"/>
    <n v="0.27813311305168753"/>
    <x v="1"/>
  </r>
  <r>
    <s v="ORD00006"/>
    <s v="2025-05-08"/>
    <x v="4"/>
    <n v="2025"/>
    <x v="0"/>
    <s v="Bhubaneswar"/>
    <x v="4"/>
    <s v="Customer_7793"/>
    <x v="4"/>
    <x v="2"/>
    <n v="16"/>
    <n v="116539"/>
    <n v="75378"/>
    <n v="41161"/>
    <n v="0.35319506774556159"/>
    <x v="0"/>
  </r>
  <r>
    <s v="ORD00007"/>
    <s v="2025-02-12"/>
    <x v="3"/>
    <n v="2025"/>
    <x v="2"/>
    <s v="Chandigarh"/>
    <x v="4"/>
    <s v="Customer_5045"/>
    <x v="5"/>
    <x v="3"/>
    <n v="1"/>
    <n v="116342"/>
    <n v="73152"/>
    <n v="43190"/>
    <n v="0.37123308865242133"/>
    <x v="0"/>
  </r>
  <r>
    <s v="ORD00008"/>
    <s v="2025-12-22"/>
    <x v="1"/>
    <n v="2025"/>
    <x v="0"/>
    <s v="Bhubaneswar"/>
    <x v="1"/>
    <s v="Customer_8542"/>
    <x v="2"/>
    <x v="0"/>
    <n v="17"/>
    <n v="100622"/>
    <n v="68356"/>
    <n v="32266"/>
    <n v="0.32066546083361491"/>
    <x v="1"/>
  </r>
  <r>
    <s v="ORD00009"/>
    <s v="2025-03-31"/>
    <x v="2"/>
    <n v="2025"/>
    <x v="0"/>
    <s v="Kolkata"/>
    <x v="3"/>
    <s v="Customer_4229"/>
    <x v="4"/>
    <x v="2"/>
    <n v="11"/>
    <n v="19004"/>
    <n v="10806"/>
    <n v="8198"/>
    <n v="0.43138286676489163"/>
    <x v="0"/>
  </r>
  <r>
    <s v="ORD00010"/>
    <s v="2025-03-04"/>
    <x v="2"/>
    <n v="2025"/>
    <x v="0"/>
    <s v="Kolkata"/>
    <x v="0"/>
    <s v="Customer_7002"/>
    <x v="3"/>
    <x v="1"/>
    <n v="1"/>
    <n v="62884"/>
    <n v="33713"/>
    <n v="29171"/>
    <n v="0.46388588512181161"/>
    <x v="2"/>
  </r>
  <r>
    <s v="ORD00011"/>
    <s v="2025-07-29"/>
    <x v="0"/>
    <n v="2025"/>
    <x v="0"/>
    <s v="Bhubaneswar"/>
    <x v="1"/>
    <s v="Customer_7236"/>
    <x v="4"/>
    <x v="2"/>
    <n v="9"/>
    <n v="9834"/>
    <n v="7317"/>
    <n v="2517"/>
    <n v="0.25594874923733985"/>
    <x v="0"/>
  </r>
  <r>
    <s v="ORD00012"/>
    <s v="2025-01-22"/>
    <x v="5"/>
    <n v="2025"/>
    <x v="2"/>
    <s v="Delhi"/>
    <x v="2"/>
    <s v="Customer_5853"/>
    <x v="2"/>
    <x v="0"/>
    <n v="2"/>
    <n v="25453"/>
    <n v="12780"/>
    <n v="12673"/>
    <n v="0.49789808666954777"/>
    <x v="2"/>
  </r>
  <r>
    <s v="ORD00013"/>
    <s v="2025-09-20"/>
    <x v="6"/>
    <n v="2025"/>
    <x v="0"/>
    <s v="Bhubaneswar"/>
    <x v="3"/>
    <s v="Customer_5456"/>
    <x v="0"/>
    <x v="0"/>
    <n v="2"/>
    <n v="59988"/>
    <n v="38891"/>
    <n v="21097"/>
    <n v="0.35168700406748016"/>
    <x v="1"/>
  </r>
  <r>
    <s v="ORD00014"/>
    <s v="2025-10-03"/>
    <x v="7"/>
    <n v="2025"/>
    <x v="3"/>
    <s v="Chennai"/>
    <x v="1"/>
    <s v="Customer_5532"/>
    <x v="5"/>
    <x v="3"/>
    <n v="22"/>
    <n v="114516"/>
    <n v="69147"/>
    <n v="45369"/>
    <n v="0.39618044640050298"/>
    <x v="0"/>
  </r>
  <r>
    <s v="ORD00015"/>
    <s v="2025-03-09"/>
    <x v="2"/>
    <n v="2025"/>
    <x v="2"/>
    <s v="Chandigarh"/>
    <x v="5"/>
    <s v="Customer_7700"/>
    <x v="5"/>
    <x v="3"/>
    <n v="9"/>
    <n v="13197"/>
    <n v="7021"/>
    <n v="6176"/>
    <n v="0.46798514813972875"/>
    <x v="2"/>
  </r>
  <r>
    <s v="ORD00016"/>
    <s v="2025-03-11"/>
    <x v="2"/>
    <n v="2025"/>
    <x v="0"/>
    <s v="Kolkata"/>
    <x v="2"/>
    <s v="Customer_2697"/>
    <x v="2"/>
    <x v="0"/>
    <n v="12"/>
    <n v="108180"/>
    <n v="59532"/>
    <n v="48648"/>
    <n v="0.44969495285635053"/>
    <x v="3"/>
  </r>
  <r>
    <s v="ORD00017"/>
    <s v="2025-07-07"/>
    <x v="0"/>
    <n v="2025"/>
    <x v="0"/>
    <s v="Bhubaneswar"/>
    <x v="4"/>
    <s v="Customer_9817"/>
    <x v="6"/>
    <x v="2"/>
    <n v="22"/>
    <n v="49103"/>
    <n v="22701"/>
    <n v="26402"/>
    <n v="0.53768608842636911"/>
    <x v="2"/>
  </r>
  <r>
    <s v="ORD00018"/>
    <s v="2025-04-04"/>
    <x v="8"/>
    <n v="2025"/>
    <x v="2"/>
    <s v="Chandigarh"/>
    <x v="6"/>
    <s v="Customer_3583"/>
    <x v="2"/>
    <x v="0"/>
    <n v="2"/>
    <n v="69096"/>
    <n v="55738"/>
    <n v="13358"/>
    <n v="0.19332522866736135"/>
    <x v="0"/>
  </r>
  <r>
    <s v="ORD00019"/>
    <s v="2025-05-07"/>
    <x v="4"/>
    <n v="2025"/>
    <x v="1"/>
    <s v="Mumbai"/>
    <x v="6"/>
    <s v="Customer_9697"/>
    <x v="6"/>
    <x v="2"/>
    <n v="14"/>
    <n v="11218"/>
    <n v="6152"/>
    <n v="5066"/>
    <n v="0.45159564984845785"/>
    <x v="1"/>
  </r>
  <r>
    <s v="ORD00020"/>
    <s v="2025-06-16"/>
    <x v="9"/>
    <n v="2025"/>
    <x v="1"/>
    <s v="Mumbai"/>
    <x v="0"/>
    <s v="Customer_9544"/>
    <x v="6"/>
    <x v="2"/>
    <n v="17"/>
    <n v="72863"/>
    <n v="61759"/>
    <n v="11104"/>
    <n v="0.15239559172693959"/>
    <x v="1"/>
  </r>
  <r>
    <s v="ORD00021"/>
    <s v="2025-07-05"/>
    <x v="0"/>
    <n v="2025"/>
    <x v="2"/>
    <s v="Delhi"/>
    <x v="7"/>
    <s v="Customer_8457"/>
    <x v="3"/>
    <x v="1"/>
    <n v="17"/>
    <n v="15943"/>
    <n v="9176"/>
    <n v="6767"/>
    <n v="0.42444960170607793"/>
    <x v="0"/>
  </r>
  <r>
    <s v="ORD00022"/>
    <s v="2025-09-24"/>
    <x v="6"/>
    <n v="2025"/>
    <x v="2"/>
    <s v="Chandigarh"/>
    <x v="6"/>
    <s v="Customer_5626"/>
    <x v="7"/>
    <x v="0"/>
    <n v="14"/>
    <n v="17946"/>
    <n v="10815"/>
    <n v="7131"/>
    <n v="0.39735874289535272"/>
    <x v="2"/>
  </r>
  <r>
    <s v="ORD00023"/>
    <s v="2025-08-09"/>
    <x v="10"/>
    <n v="2025"/>
    <x v="2"/>
    <s v="Delhi"/>
    <x v="7"/>
    <s v="Customer_7757"/>
    <x v="6"/>
    <x v="2"/>
    <n v="8"/>
    <n v="35558"/>
    <n v="16290"/>
    <n v="19268"/>
    <n v="0.54187524607683224"/>
    <x v="3"/>
  </r>
  <r>
    <s v="ORD00024"/>
    <s v="2025-02-27"/>
    <x v="3"/>
    <n v="2025"/>
    <x v="2"/>
    <s v="Delhi"/>
    <x v="2"/>
    <s v="Customer_7573"/>
    <x v="1"/>
    <x v="0"/>
    <n v="19"/>
    <n v="102528"/>
    <n v="65736"/>
    <n v="36792"/>
    <n v="0.35884831460674155"/>
    <x v="2"/>
  </r>
  <r>
    <s v="ORD00025"/>
    <s v="2025-05-05"/>
    <x v="4"/>
    <n v="2025"/>
    <x v="0"/>
    <s v="Kolkata"/>
    <x v="0"/>
    <s v="Customer_5188"/>
    <x v="0"/>
    <x v="0"/>
    <n v="9"/>
    <n v="114341"/>
    <n v="94999"/>
    <n v="19342"/>
    <n v="0.16916066852660025"/>
    <x v="1"/>
  </r>
  <r>
    <s v="ORD00026"/>
    <s v="2025-12-09"/>
    <x v="1"/>
    <n v="2025"/>
    <x v="2"/>
    <s v="Chandigarh"/>
    <x v="5"/>
    <s v="Customer_1159"/>
    <x v="8"/>
    <x v="4"/>
    <n v="3"/>
    <n v="36258"/>
    <n v="19836"/>
    <n v="16422"/>
    <n v="0.45292073473440342"/>
    <x v="2"/>
  </r>
  <r>
    <s v="ORD00027"/>
    <s v="2025-07-17"/>
    <x v="0"/>
    <n v="2025"/>
    <x v="3"/>
    <s v="Chennai"/>
    <x v="2"/>
    <s v="Customer_6285"/>
    <x v="1"/>
    <x v="0"/>
    <n v="21"/>
    <n v="113260"/>
    <n v="52125"/>
    <n v="61135"/>
    <n v="0.53977573724174466"/>
    <x v="2"/>
  </r>
  <r>
    <s v="ORD00028"/>
    <s v="2025-10-28"/>
    <x v="7"/>
    <n v="2025"/>
    <x v="3"/>
    <s v="Chennai"/>
    <x v="1"/>
    <s v="Customer_3215"/>
    <x v="0"/>
    <x v="0"/>
    <n v="24"/>
    <n v="85198"/>
    <n v="68287"/>
    <n v="16911"/>
    <n v="0.19849057489612432"/>
    <x v="3"/>
  </r>
  <r>
    <s v="ORD00029"/>
    <s v="2025-03-15"/>
    <x v="2"/>
    <n v="2025"/>
    <x v="2"/>
    <s v="Chandigarh"/>
    <x v="7"/>
    <s v="Customer_9516"/>
    <x v="3"/>
    <x v="1"/>
    <n v="17"/>
    <n v="73200"/>
    <n v="51988"/>
    <n v="21212"/>
    <n v="0.28978142076502733"/>
    <x v="3"/>
  </r>
  <r>
    <s v="ORD00030"/>
    <s v="2025-07-24"/>
    <x v="0"/>
    <n v="2025"/>
    <x v="3"/>
    <s v="Bangalore"/>
    <x v="5"/>
    <s v="Customer_7096"/>
    <x v="0"/>
    <x v="0"/>
    <n v="13"/>
    <n v="41078"/>
    <n v="29541"/>
    <n v="11537"/>
    <n v="0.28085593261599884"/>
    <x v="0"/>
  </r>
  <r>
    <s v="ORD00031"/>
    <s v="2025-06-01"/>
    <x v="9"/>
    <n v="2025"/>
    <x v="3"/>
    <s v="Chennai"/>
    <x v="1"/>
    <s v="Customer_7809"/>
    <x v="7"/>
    <x v="0"/>
    <n v="13"/>
    <n v="99760"/>
    <n v="58294"/>
    <n v="41466"/>
    <n v="0.41565757818765037"/>
    <x v="3"/>
  </r>
  <r>
    <s v="ORD00032"/>
    <s v="2025-01-01"/>
    <x v="5"/>
    <n v="2025"/>
    <x v="0"/>
    <s v="Bhubaneswar"/>
    <x v="6"/>
    <s v="Customer_4126"/>
    <x v="4"/>
    <x v="2"/>
    <n v="14"/>
    <n v="119995"/>
    <n v="101060"/>
    <n v="18935"/>
    <n v="0.15779824159339972"/>
    <x v="2"/>
  </r>
  <r>
    <s v="ORD00034"/>
    <s v="2025-05-01"/>
    <x v="4"/>
    <n v="2025"/>
    <x v="2"/>
    <s v="Delhi"/>
    <x v="2"/>
    <s v="Customer_1569"/>
    <x v="6"/>
    <x v="2"/>
    <n v="24"/>
    <n v="22570"/>
    <n v="18060"/>
    <n v="4510"/>
    <n v="0.19982277359326539"/>
    <x v="1"/>
  </r>
  <r>
    <s v="ORD00035"/>
    <s v="2025-11-16"/>
    <x v="11"/>
    <n v="2025"/>
    <x v="3"/>
    <s v="Chennai"/>
    <x v="3"/>
    <s v="Customer_6321"/>
    <x v="4"/>
    <x v="2"/>
    <n v="13"/>
    <n v="28581"/>
    <n v="14192"/>
    <n v="14389"/>
    <n v="0.50344634547426614"/>
    <x v="3"/>
  </r>
  <r>
    <s v="ORD00036"/>
    <s v="2025-10-03"/>
    <x v="7"/>
    <n v="2025"/>
    <x v="2"/>
    <s v="Chandigarh"/>
    <x v="1"/>
    <s v="Customer_4921"/>
    <x v="7"/>
    <x v="0"/>
    <n v="5"/>
    <n v="46456"/>
    <n v="32970"/>
    <n v="13486"/>
    <n v="0.29029619424832098"/>
    <x v="0"/>
  </r>
  <r>
    <s v="ORD00037"/>
    <s v="2025-04-16"/>
    <x v="8"/>
    <n v="2025"/>
    <x v="1"/>
    <s v="Pune"/>
    <x v="0"/>
    <s v="Customer_8307"/>
    <x v="3"/>
    <x v="1"/>
    <n v="6"/>
    <n v="94194"/>
    <n v="76321"/>
    <n v="17873"/>
    <n v="0.18974669299530755"/>
    <x v="3"/>
  </r>
  <r>
    <s v="ORD00038"/>
    <s v="2025-10-01"/>
    <x v="7"/>
    <n v="2025"/>
    <x v="1"/>
    <s v="Mumbai"/>
    <x v="3"/>
    <s v="Customer_1720"/>
    <x v="1"/>
    <x v="0"/>
    <n v="5"/>
    <n v="68479"/>
    <n v="44378"/>
    <n v="24101"/>
    <n v="0.3519473123147242"/>
    <x v="1"/>
  </r>
  <r>
    <s v="ORD00039"/>
    <s v="2025-06-21"/>
    <x v="9"/>
    <n v="2025"/>
    <x v="2"/>
    <s v="Chandigarh"/>
    <x v="2"/>
    <s v="Customer_3648"/>
    <x v="0"/>
    <x v="0"/>
    <n v="17"/>
    <n v="32031"/>
    <n v="21803"/>
    <n v="10228"/>
    <n v="0.3193156629515157"/>
    <x v="2"/>
  </r>
  <r>
    <s v="ORD00040"/>
    <s v="2025-09-16"/>
    <x v="6"/>
    <n v="2025"/>
    <x v="1"/>
    <s v="Mumbai"/>
    <x v="4"/>
    <s v="Customer_8196"/>
    <x v="1"/>
    <x v="0"/>
    <n v="16"/>
    <n v="68601"/>
    <n v="46515"/>
    <n v="22086"/>
    <n v="0.32194865964053004"/>
    <x v="3"/>
  </r>
  <r>
    <s v="ORD00041"/>
    <s v="2025-11-14"/>
    <x v="11"/>
    <n v="2025"/>
    <x v="0"/>
    <s v="Kolkata"/>
    <x v="2"/>
    <s v="Customer_2205"/>
    <x v="8"/>
    <x v="4"/>
    <n v="4"/>
    <n v="117566"/>
    <n v="66902"/>
    <n v="50664"/>
    <n v="0.43094091829270365"/>
    <x v="0"/>
  </r>
  <r>
    <s v="ORD00042"/>
    <s v="2025-09-17"/>
    <x v="6"/>
    <n v="2025"/>
    <x v="0"/>
    <s v="Bhubaneswar"/>
    <x v="6"/>
    <s v="Customer_7843"/>
    <x v="0"/>
    <x v="0"/>
    <n v="22"/>
    <n v="19694"/>
    <n v="16656"/>
    <n v="3038"/>
    <n v="0.15426018076571546"/>
    <x v="1"/>
  </r>
  <r>
    <s v="ORD00043"/>
    <s v="2025-01-23"/>
    <x v="5"/>
    <n v="2025"/>
    <x v="3"/>
    <s v="Bangalore"/>
    <x v="5"/>
    <s v="Customer_4386"/>
    <x v="7"/>
    <x v="0"/>
    <n v="12"/>
    <n v="47776"/>
    <n v="24018"/>
    <n v="23758"/>
    <n v="0.49727896851975889"/>
    <x v="3"/>
  </r>
  <r>
    <s v="ORD00044"/>
    <s v="2025-09-10"/>
    <x v="6"/>
    <n v="2025"/>
    <x v="3"/>
    <s v="Bangalore"/>
    <x v="5"/>
    <s v="Customer_5629"/>
    <x v="1"/>
    <x v="0"/>
    <n v="21"/>
    <n v="72344"/>
    <n v="49116"/>
    <n v="23228"/>
    <n v="0.32107707619152936"/>
    <x v="0"/>
  </r>
  <r>
    <s v="ORD00045"/>
    <s v="2025-02-03"/>
    <x v="3"/>
    <n v="2025"/>
    <x v="1"/>
    <s v="Mumbai"/>
    <x v="1"/>
    <s v="Customer_3632"/>
    <x v="2"/>
    <x v="0"/>
    <n v="25"/>
    <n v="41752"/>
    <n v="27284"/>
    <n v="14468"/>
    <n v="0.34652232228396246"/>
    <x v="1"/>
  </r>
  <r>
    <s v="ORD00046"/>
    <s v="2025-01-22"/>
    <x v="5"/>
    <n v="2025"/>
    <x v="2"/>
    <s v="Delhi"/>
    <x v="2"/>
    <s v="Customer_6337"/>
    <x v="1"/>
    <x v="0"/>
    <n v="14"/>
    <n v="87292"/>
    <n v="70037"/>
    <n v="17255"/>
    <n v="0.19766988956605416"/>
    <x v="3"/>
  </r>
  <r>
    <s v="ORD00047"/>
    <s v="2025-08-04"/>
    <x v="10"/>
    <n v="2025"/>
    <x v="2"/>
    <s v="Chandigarh"/>
    <x v="3"/>
    <s v="Customer_8654"/>
    <x v="2"/>
    <x v="0"/>
    <n v="5"/>
    <n v="73300"/>
    <n v="53770"/>
    <n v="19530"/>
    <n v="0.2664392905866303"/>
    <x v="0"/>
  </r>
  <r>
    <s v="ORD00048"/>
    <s v="2025-05-02"/>
    <x v="4"/>
    <n v="2025"/>
    <x v="1"/>
    <s v="Pune"/>
    <x v="5"/>
    <s v="Customer_5739"/>
    <x v="5"/>
    <x v="3"/>
    <n v="17"/>
    <n v="21786"/>
    <n v="12045"/>
    <n v="9741"/>
    <n v="0.44712200495731202"/>
    <x v="3"/>
  </r>
  <r>
    <s v="ORD00049"/>
    <s v="2025-08-13"/>
    <x v="10"/>
    <n v="2025"/>
    <x v="3"/>
    <s v="Bangalore"/>
    <x v="2"/>
    <s v="Customer_8703"/>
    <x v="2"/>
    <x v="0"/>
    <n v="9"/>
    <n v="105684"/>
    <n v="54701"/>
    <n v="50983"/>
    <n v="0.48240982551758071"/>
    <x v="0"/>
  </r>
  <r>
    <s v="ORD00050"/>
    <s v="2025-05-17"/>
    <x v="4"/>
    <n v="2025"/>
    <x v="0"/>
    <s v="Kolkata"/>
    <x v="5"/>
    <s v="Customer_7869"/>
    <x v="2"/>
    <x v="0"/>
    <n v="23"/>
    <n v="70670"/>
    <n v="57122"/>
    <n v="13548"/>
    <n v="0.19170793830479693"/>
    <x v="1"/>
  </r>
  <r>
    <s v="ORD00051"/>
    <s v="2025-09-27"/>
    <x v="6"/>
    <n v="2025"/>
    <x v="0"/>
    <s v="Kolkata"/>
    <x v="6"/>
    <s v="Customer_9955"/>
    <x v="8"/>
    <x v="4"/>
    <n v="1"/>
    <n v="92888"/>
    <n v="69121"/>
    <n v="23767"/>
    <n v="0.25586728102661271"/>
    <x v="3"/>
  </r>
  <r>
    <s v="ORD00052"/>
    <s v="2025-03-26"/>
    <x v="2"/>
    <n v="2025"/>
    <x v="2"/>
    <s v="Chandigarh"/>
    <x v="6"/>
    <s v="Customer_3854"/>
    <x v="0"/>
    <x v="0"/>
    <n v="14"/>
    <n v="111546"/>
    <n v="70321"/>
    <n v="41225"/>
    <n v="0.369578469868933"/>
    <x v="1"/>
  </r>
  <r>
    <s v="ORD00053"/>
    <s v="2025-03-24"/>
    <x v="2"/>
    <n v="2025"/>
    <x v="3"/>
    <s v="Bangalore"/>
    <x v="0"/>
    <s v="Customer_5598"/>
    <x v="6"/>
    <x v="2"/>
    <n v="15"/>
    <n v="33965"/>
    <n v="25027"/>
    <n v="8938"/>
    <n v="0.26315324598851758"/>
    <x v="0"/>
  </r>
  <r>
    <s v="ORD00054"/>
    <s v="2025-09-04"/>
    <x v="6"/>
    <n v="2025"/>
    <x v="2"/>
    <s v="Delhi"/>
    <x v="3"/>
    <s v="Customer_5908"/>
    <x v="5"/>
    <x v="3"/>
    <n v="6"/>
    <n v="100364"/>
    <n v="55749"/>
    <n v="44615"/>
    <n v="0.44453190386991354"/>
    <x v="3"/>
  </r>
  <r>
    <s v="ORD00055"/>
    <s v="2025-05-31"/>
    <x v="4"/>
    <n v="2025"/>
    <x v="1"/>
    <s v="Mumbai"/>
    <x v="7"/>
    <s v="Customer_5804"/>
    <x v="2"/>
    <x v="0"/>
    <n v="6"/>
    <n v="42522"/>
    <n v="23659"/>
    <n v="18863"/>
    <n v="0.44360566295094306"/>
    <x v="3"/>
  </r>
  <r>
    <s v="ORD00056"/>
    <s v="2025-02-27"/>
    <x v="3"/>
    <n v="2025"/>
    <x v="3"/>
    <s v="Bangalore"/>
    <x v="0"/>
    <s v="Customer_3836"/>
    <x v="5"/>
    <x v="3"/>
    <n v="11"/>
    <n v="48056"/>
    <n v="34193"/>
    <n v="13863"/>
    <n v="0.28847594473114702"/>
    <x v="1"/>
  </r>
  <r>
    <s v="ORD00057"/>
    <s v="2025-11-06"/>
    <x v="11"/>
    <n v="2025"/>
    <x v="0"/>
    <s v="Kolkata"/>
    <x v="7"/>
    <s v="Customer_4601"/>
    <x v="4"/>
    <x v="2"/>
    <n v="19"/>
    <n v="59695"/>
    <n v="39549"/>
    <n v="20146"/>
    <n v="0.33748220118937933"/>
    <x v="0"/>
  </r>
  <r>
    <s v="ORD00058"/>
    <s v="2025-04-29"/>
    <x v="8"/>
    <n v="2025"/>
    <x v="0"/>
    <s v="Bhubaneswar"/>
    <x v="0"/>
    <s v="Customer_3861"/>
    <x v="0"/>
    <x v="0"/>
    <n v="6"/>
    <n v="44269"/>
    <n v="28888"/>
    <n v="15381"/>
    <n v="0.34744403532946305"/>
    <x v="3"/>
  </r>
  <r>
    <s v="ORD00059"/>
    <s v="2025-04-04"/>
    <x v="8"/>
    <n v="2025"/>
    <x v="2"/>
    <s v="Chandigarh"/>
    <x v="1"/>
    <s v="Customer_3464"/>
    <x v="0"/>
    <x v="0"/>
    <n v="10"/>
    <n v="81205"/>
    <n v="52054"/>
    <n v="29151"/>
    <n v="0.35898035835231823"/>
    <x v="2"/>
  </r>
  <r>
    <s v="ORD00060"/>
    <s v="2025-02-16"/>
    <x v="3"/>
    <n v="2025"/>
    <x v="0"/>
    <s v="Kolkata"/>
    <x v="3"/>
    <s v="Customer_1181"/>
    <x v="5"/>
    <x v="3"/>
    <n v="9"/>
    <n v="75692"/>
    <n v="45047"/>
    <n v="30645"/>
    <n v="0.40486445066849863"/>
    <x v="0"/>
  </r>
  <r>
    <s v="ORD00061"/>
    <s v="2025-06-08"/>
    <x v="9"/>
    <n v="2025"/>
    <x v="0"/>
    <s v="Bhubaneswar"/>
    <x v="2"/>
    <s v="Customer_5225"/>
    <x v="5"/>
    <x v="3"/>
    <n v="13"/>
    <n v="61838"/>
    <n v="29440"/>
    <n v="32398"/>
    <n v="0.52391733238461791"/>
    <x v="2"/>
  </r>
  <r>
    <s v="ORD00062"/>
    <s v="2025-11-01"/>
    <x v="11"/>
    <n v="2025"/>
    <x v="1"/>
    <s v="Pune"/>
    <x v="6"/>
    <s v="Customer_7364"/>
    <x v="1"/>
    <x v="0"/>
    <n v="19"/>
    <n v="102654"/>
    <n v="49106"/>
    <n v="53548"/>
    <n v="0.52163578623336648"/>
    <x v="3"/>
  </r>
  <r>
    <s v="ORD00063"/>
    <s v="2025-03-25"/>
    <x v="2"/>
    <n v="2025"/>
    <x v="3"/>
    <s v="Bangalore"/>
    <x v="3"/>
    <s v="Customer_1345"/>
    <x v="3"/>
    <x v="1"/>
    <n v="6"/>
    <n v="24882"/>
    <n v="11832"/>
    <n v="13050"/>
    <n v="0.52447552447552448"/>
    <x v="2"/>
  </r>
  <r>
    <s v="ORD00064"/>
    <s v="2025-08-05"/>
    <x v="10"/>
    <n v="2025"/>
    <x v="0"/>
    <s v="Kolkata"/>
    <x v="1"/>
    <s v="Customer_2668"/>
    <x v="6"/>
    <x v="2"/>
    <n v="14"/>
    <n v="29263"/>
    <n v="15338"/>
    <n v="13925"/>
    <n v="0.47585688411987836"/>
    <x v="1"/>
  </r>
  <r>
    <s v="ORD00065"/>
    <s v="2025-10-10"/>
    <x v="7"/>
    <n v="2025"/>
    <x v="0"/>
    <s v="Kolkata"/>
    <x v="6"/>
    <s v="Customer_2321"/>
    <x v="8"/>
    <x v="4"/>
    <n v="9"/>
    <n v="74015"/>
    <n v="44017"/>
    <n v="29998"/>
    <n v="0.40529622373843138"/>
    <x v="3"/>
  </r>
  <r>
    <s v="ORD00067"/>
    <s v="2025-08-15"/>
    <x v="10"/>
    <n v="2025"/>
    <x v="2"/>
    <s v="Chandigarh"/>
    <x v="7"/>
    <s v="Customer_5154"/>
    <x v="0"/>
    <x v="0"/>
    <n v="2"/>
    <n v="18134"/>
    <n v="12326"/>
    <n v="5808"/>
    <n v="0.32028234256093524"/>
    <x v="1"/>
  </r>
  <r>
    <s v="ORD00068"/>
    <s v="2025-07-20"/>
    <x v="0"/>
    <n v="2025"/>
    <x v="3"/>
    <s v="Bangalore"/>
    <x v="3"/>
    <s v="Customer_7769"/>
    <x v="4"/>
    <x v="2"/>
    <n v="14"/>
    <n v="47975"/>
    <n v="30105"/>
    <n v="17870"/>
    <n v="0.37248566961959356"/>
    <x v="2"/>
  </r>
  <r>
    <s v="ORD00069"/>
    <s v="2025-05-28"/>
    <x v="4"/>
    <n v="2025"/>
    <x v="0"/>
    <s v="Kolkata"/>
    <x v="2"/>
    <s v="Customer_6999"/>
    <x v="6"/>
    <x v="2"/>
    <n v="9"/>
    <n v="45917"/>
    <n v="33093"/>
    <n v="12824"/>
    <n v="0.2792865387547096"/>
    <x v="3"/>
  </r>
  <r>
    <s v="ORD00070"/>
    <s v="2025-08-15"/>
    <x v="10"/>
    <n v="2025"/>
    <x v="2"/>
    <s v="Chandigarh"/>
    <x v="5"/>
    <s v="Customer_6105"/>
    <x v="2"/>
    <x v="0"/>
    <n v="22"/>
    <n v="48688"/>
    <n v="37184"/>
    <n v="11504"/>
    <n v="0.23627998685507723"/>
    <x v="2"/>
  </r>
  <r>
    <s v="ORD00071"/>
    <s v="2025-09-04"/>
    <x v="6"/>
    <n v="2025"/>
    <x v="3"/>
    <s v="Bangalore"/>
    <x v="6"/>
    <s v="Customer_4488"/>
    <x v="3"/>
    <x v="1"/>
    <n v="2"/>
    <n v="10036"/>
    <n v="5430"/>
    <n v="4606"/>
    <n v="0.45894778796333202"/>
    <x v="2"/>
  </r>
  <r>
    <s v="ORD00072"/>
    <s v="2025-12-05"/>
    <x v="1"/>
    <n v="2025"/>
    <x v="0"/>
    <s v="Kolkata"/>
    <x v="4"/>
    <s v="Customer_1440"/>
    <x v="1"/>
    <x v="0"/>
    <n v="14"/>
    <n v="38408"/>
    <n v="21471"/>
    <n v="16937"/>
    <n v="0.44097583836700688"/>
    <x v="0"/>
  </r>
  <r>
    <s v="ORD00073"/>
    <s v="2025-11-09"/>
    <x v="11"/>
    <n v="2025"/>
    <x v="3"/>
    <s v="Chennai"/>
    <x v="4"/>
    <s v="Customer_2222"/>
    <x v="6"/>
    <x v="2"/>
    <n v="13"/>
    <n v="81291"/>
    <n v="40658"/>
    <n v="40633"/>
    <n v="0.49984623144013485"/>
    <x v="3"/>
  </r>
  <r>
    <s v="ORD00074"/>
    <s v="2025-06-20"/>
    <x v="9"/>
    <n v="2025"/>
    <x v="1"/>
    <s v="Pune"/>
    <x v="6"/>
    <s v="Customer_3656"/>
    <x v="0"/>
    <x v="0"/>
    <n v="17"/>
    <n v="103069"/>
    <n v="55005"/>
    <n v="48064"/>
    <n v="0.46632838195771764"/>
    <x v="1"/>
  </r>
  <r>
    <s v="ORD00075"/>
    <s v="2025-09-26"/>
    <x v="6"/>
    <n v="2025"/>
    <x v="3"/>
    <s v="Bangalore"/>
    <x v="4"/>
    <s v="Customer_7927"/>
    <x v="8"/>
    <x v="4"/>
    <n v="23"/>
    <n v="110739"/>
    <n v="70237"/>
    <n v="40502"/>
    <n v="0.36574287288127938"/>
    <x v="0"/>
  </r>
  <r>
    <s v="ORD00076"/>
    <s v="2025-01-28"/>
    <x v="5"/>
    <n v="2025"/>
    <x v="2"/>
    <s v="Delhi"/>
    <x v="1"/>
    <s v="Customer_7663"/>
    <x v="5"/>
    <x v="3"/>
    <n v="24"/>
    <n v="19367"/>
    <n v="10903"/>
    <n v="8464"/>
    <n v="0.43703206485258428"/>
    <x v="2"/>
  </r>
  <r>
    <s v="ORD00077"/>
    <s v="2025-03-19"/>
    <x v="2"/>
    <n v="2025"/>
    <x v="3"/>
    <s v="Bangalore"/>
    <x v="7"/>
    <s v="Customer_6217"/>
    <x v="7"/>
    <x v="0"/>
    <n v="16"/>
    <n v="56232"/>
    <n v="38292"/>
    <n v="17940"/>
    <n v="0.31903542466922746"/>
    <x v="3"/>
  </r>
  <r>
    <s v="ORD00078"/>
    <s v="2025-12-08"/>
    <x v="1"/>
    <n v="2025"/>
    <x v="2"/>
    <s v="Chandigarh"/>
    <x v="2"/>
    <s v="Customer_7042"/>
    <x v="2"/>
    <x v="0"/>
    <n v="20"/>
    <n v="68941"/>
    <n v="49267"/>
    <n v="19674"/>
    <n v="0.28537445061719441"/>
    <x v="0"/>
  </r>
  <r>
    <s v="ORD00079"/>
    <s v="2025-09-17"/>
    <x v="6"/>
    <n v="2025"/>
    <x v="1"/>
    <s v="Mumbai"/>
    <x v="5"/>
    <s v="Customer_3895"/>
    <x v="8"/>
    <x v="4"/>
    <n v="4"/>
    <n v="53930"/>
    <n v="33101"/>
    <n v="20829"/>
    <n v="0.38622288151307249"/>
    <x v="3"/>
  </r>
  <r>
    <s v="ORD00080"/>
    <s v="2025-05-09"/>
    <x v="4"/>
    <n v="2025"/>
    <x v="0"/>
    <s v="Bhubaneswar"/>
    <x v="6"/>
    <s v="Customer_5306"/>
    <x v="2"/>
    <x v="0"/>
    <n v="18"/>
    <n v="77060"/>
    <n v="52478"/>
    <n v="24582"/>
    <n v="0.31899818323384377"/>
    <x v="3"/>
  </r>
  <r>
    <s v="ORD00081"/>
    <s v="2025-04-10"/>
    <x v="8"/>
    <n v="2025"/>
    <x v="0"/>
    <s v="Bhubaneswar"/>
    <x v="4"/>
    <s v="Customer_8519"/>
    <x v="4"/>
    <x v="2"/>
    <n v="19"/>
    <n v="41636"/>
    <n v="30113"/>
    <n v="11523"/>
    <n v="0.27675569218945145"/>
    <x v="0"/>
  </r>
  <r>
    <s v="ORD00082"/>
    <s v="2025-03-28"/>
    <x v="2"/>
    <n v="2025"/>
    <x v="1"/>
    <s v="Pune"/>
    <x v="2"/>
    <s v="Customer_6074"/>
    <x v="0"/>
    <x v="0"/>
    <n v="22"/>
    <n v="75547"/>
    <n v="54654"/>
    <n v="20893"/>
    <n v="0.27655631593577507"/>
    <x v="3"/>
  </r>
  <r>
    <s v="ORD00083"/>
    <s v="2025-03-23"/>
    <x v="2"/>
    <n v="2025"/>
    <x v="0"/>
    <s v="Kolkata"/>
    <x v="4"/>
    <s v="Customer_1204"/>
    <x v="8"/>
    <x v="4"/>
    <n v="6"/>
    <n v="55175"/>
    <n v="28455"/>
    <n v="26720"/>
    <n v="0.48427729950158588"/>
    <x v="1"/>
  </r>
  <r>
    <s v="ORD00084"/>
    <s v="2025-08-09"/>
    <x v="10"/>
    <n v="2025"/>
    <x v="0"/>
    <s v="Kolkata"/>
    <x v="7"/>
    <s v="Customer_1749"/>
    <x v="3"/>
    <x v="1"/>
    <n v="9"/>
    <n v="100618"/>
    <n v="80073"/>
    <n v="20545"/>
    <n v="0.2041881174342563"/>
    <x v="3"/>
  </r>
  <r>
    <s v="ORD00085"/>
    <s v="2025-12-31"/>
    <x v="1"/>
    <n v="2025"/>
    <x v="2"/>
    <s v="Delhi"/>
    <x v="5"/>
    <s v="Customer_1807"/>
    <x v="4"/>
    <x v="2"/>
    <n v="2"/>
    <n v="17186"/>
    <n v="11822"/>
    <n v="5364"/>
    <n v="0.31211451181193994"/>
    <x v="0"/>
  </r>
  <r>
    <s v="ORD00086"/>
    <s v="2025-10-20"/>
    <x v="7"/>
    <n v="2025"/>
    <x v="1"/>
    <s v="Pune"/>
    <x v="2"/>
    <s v="Customer_3160"/>
    <x v="2"/>
    <x v="0"/>
    <n v="19"/>
    <n v="41237"/>
    <n v="21053"/>
    <n v="20184"/>
    <n v="0.48946334602420155"/>
    <x v="1"/>
  </r>
  <r>
    <s v="ORD00088"/>
    <s v="2025-04-20"/>
    <x v="8"/>
    <n v="2025"/>
    <x v="1"/>
    <s v="Pune"/>
    <x v="7"/>
    <s v="Customer_1279"/>
    <x v="3"/>
    <x v="1"/>
    <n v="16"/>
    <n v="50243"/>
    <n v="29013"/>
    <n v="21230"/>
    <n v="0.42254642437752521"/>
    <x v="3"/>
  </r>
  <r>
    <s v="ORD00089"/>
    <s v="2025-03-31"/>
    <x v="2"/>
    <n v="2025"/>
    <x v="3"/>
    <s v="Chennai"/>
    <x v="1"/>
    <s v="Customer_2855"/>
    <x v="6"/>
    <x v="2"/>
    <n v="19"/>
    <n v="45735"/>
    <n v="34658"/>
    <n v="11077"/>
    <n v="0.24219962829342953"/>
    <x v="0"/>
  </r>
  <r>
    <s v="ORD00090"/>
    <s v="2025-12-14"/>
    <x v="1"/>
    <n v="2025"/>
    <x v="3"/>
    <s v="Bangalore"/>
    <x v="0"/>
    <s v="Customer_6538"/>
    <x v="2"/>
    <x v="0"/>
    <n v="19"/>
    <n v="49811"/>
    <n v="32030"/>
    <n v="17781"/>
    <n v="0.35696934412077652"/>
    <x v="2"/>
  </r>
  <r>
    <s v="ORD00091"/>
    <s v="2025-12-22"/>
    <x v="1"/>
    <n v="2025"/>
    <x v="0"/>
    <s v="Bhubaneswar"/>
    <x v="7"/>
    <s v="Customer_9014"/>
    <x v="1"/>
    <x v="0"/>
    <n v="23"/>
    <n v="26834"/>
    <n v="22708"/>
    <n v="4126"/>
    <n v="0.1537601550272043"/>
    <x v="3"/>
  </r>
  <r>
    <s v="ORD00092"/>
    <s v="2025-03-23"/>
    <x v="2"/>
    <n v="2025"/>
    <x v="1"/>
    <s v="Pune"/>
    <x v="2"/>
    <s v="Customer_5513"/>
    <x v="4"/>
    <x v="2"/>
    <n v="8"/>
    <n v="41035"/>
    <n v="23502"/>
    <n v="17533"/>
    <n v="0.42726940416717435"/>
    <x v="1"/>
  </r>
  <r>
    <s v="ORD00093"/>
    <s v="2025-10-10"/>
    <x v="7"/>
    <n v="2025"/>
    <x v="0"/>
    <s v="Bhubaneswar"/>
    <x v="7"/>
    <s v="Customer_2715"/>
    <x v="7"/>
    <x v="0"/>
    <n v="9"/>
    <n v="66894"/>
    <n v="53256"/>
    <n v="13638"/>
    <n v="0.20387478697641043"/>
    <x v="3"/>
  </r>
  <r>
    <s v="ORD00094"/>
    <s v="2025-06-10"/>
    <x v="9"/>
    <n v="2025"/>
    <x v="3"/>
    <s v="Bangalore"/>
    <x v="4"/>
    <s v="Customer_2914"/>
    <x v="3"/>
    <x v="1"/>
    <n v="10"/>
    <n v="45017"/>
    <n v="26876"/>
    <n v="18141"/>
    <n v="0.40298109603038851"/>
    <x v="3"/>
  </r>
  <r>
    <s v="ORD00095"/>
    <s v="2025-04-06"/>
    <x v="8"/>
    <n v="2025"/>
    <x v="3"/>
    <s v="Bangalore"/>
    <x v="5"/>
    <s v="Customer_6818"/>
    <x v="1"/>
    <x v="0"/>
    <n v="12"/>
    <n v="11636"/>
    <n v="9232"/>
    <n v="2404"/>
    <n v="0.20660020625644551"/>
    <x v="0"/>
  </r>
  <r>
    <s v="ORD00096"/>
    <s v="2025-02-09"/>
    <x v="3"/>
    <n v="2025"/>
    <x v="0"/>
    <s v="Bhubaneswar"/>
    <x v="1"/>
    <s v="Customer_8663"/>
    <x v="0"/>
    <x v="0"/>
    <n v="1"/>
    <n v="36771"/>
    <n v="30294"/>
    <n v="6477"/>
    <n v="0.17614424410540916"/>
    <x v="1"/>
  </r>
  <r>
    <s v="ORD00097"/>
    <s v="2025-01-08"/>
    <x v="5"/>
    <n v="2025"/>
    <x v="0"/>
    <s v="Bhubaneswar"/>
    <x v="1"/>
    <s v="Customer_3364"/>
    <x v="0"/>
    <x v="0"/>
    <n v="9"/>
    <n v="48506"/>
    <n v="37444"/>
    <n v="11062"/>
    <n v="0.22805426132849543"/>
    <x v="0"/>
  </r>
  <r>
    <s v="ORD00098"/>
    <s v="2025-04-16"/>
    <x v="8"/>
    <n v="2025"/>
    <x v="0"/>
    <s v="Bhubaneswar"/>
    <x v="1"/>
    <s v="Customer_7660"/>
    <x v="5"/>
    <x v="3"/>
    <n v="15"/>
    <n v="61670"/>
    <n v="39510"/>
    <n v="22160"/>
    <n v="0.35933192800389169"/>
    <x v="2"/>
  </r>
  <r>
    <s v="ORD00099"/>
    <s v="2025-09-24"/>
    <x v="6"/>
    <n v="2025"/>
    <x v="2"/>
    <s v="Chandigarh"/>
    <x v="1"/>
    <s v="Customer_3511"/>
    <x v="0"/>
    <x v="0"/>
    <n v="15"/>
    <n v="7203"/>
    <n v="4486"/>
    <n v="2717"/>
    <n v="0.37720394280161046"/>
    <x v="1"/>
  </r>
  <r>
    <s v="ORD00100"/>
    <s v="2025-08-04"/>
    <x v="10"/>
    <n v="2025"/>
    <x v="0"/>
    <s v="Bhubaneswar"/>
    <x v="4"/>
    <s v="Customer_3149"/>
    <x v="2"/>
    <x v="0"/>
    <n v="22"/>
    <n v="16265"/>
    <n v="12085"/>
    <n v="4180"/>
    <n v="0.2569935444205349"/>
    <x v="0"/>
  </r>
  <r>
    <s v="ORD00101"/>
    <s v="2025-04-22"/>
    <x v="8"/>
    <n v="2025"/>
    <x v="0"/>
    <s v="Kolkata"/>
    <x v="0"/>
    <s v="Customer_8877"/>
    <x v="3"/>
    <x v="1"/>
    <n v="6"/>
    <n v="101880"/>
    <n v="66939"/>
    <n v="34941"/>
    <n v="0.34296230859835103"/>
    <x v="2"/>
  </r>
  <r>
    <s v="ORD00102"/>
    <s v="2025-12-04"/>
    <x v="1"/>
    <n v="2025"/>
    <x v="0"/>
    <s v="Bhubaneswar"/>
    <x v="2"/>
    <s v="Customer_6644"/>
    <x v="5"/>
    <x v="3"/>
    <n v="9"/>
    <n v="63940"/>
    <n v="50938"/>
    <n v="13002"/>
    <n v="0.20334688770722553"/>
    <x v="2"/>
  </r>
  <r>
    <s v="ORD00103"/>
    <s v="2025-05-21"/>
    <x v="4"/>
    <n v="2025"/>
    <x v="2"/>
    <s v="Chandigarh"/>
    <x v="0"/>
    <s v="Customer_1912"/>
    <x v="0"/>
    <x v="0"/>
    <n v="19"/>
    <n v="96435"/>
    <n v="71892"/>
    <n v="24543"/>
    <n v="0.2545030331311246"/>
    <x v="0"/>
  </r>
  <r>
    <s v="ORD00104"/>
    <s v="2025-07-20"/>
    <x v="0"/>
    <n v="2025"/>
    <x v="1"/>
    <s v="Pune"/>
    <x v="4"/>
    <s v="Customer_7847"/>
    <x v="6"/>
    <x v="2"/>
    <n v="1"/>
    <n v="108318"/>
    <n v="53659"/>
    <n v="54659"/>
    <n v="0.50461603796229615"/>
    <x v="3"/>
  </r>
  <r>
    <s v="ORD00105"/>
    <s v="2025-08-25"/>
    <x v="10"/>
    <n v="2025"/>
    <x v="3"/>
    <s v="Bangalore"/>
    <x v="7"/>
    <s v="Customer_4306"/>
    <x v="6"/>
    <x v="2"/>
    <n v="9"/>
    <n v="80313"/>
    <n v="64650"/>
    <n v="15663"/>
    <n v="0.19502446677374771"/>
    <x v="1"/>
  </r>
  <r>
    <s v="ORD00106"/>
    <s v="2025-12-14"/>
    <x v="1"/>
    <n v="2025"/>
    <x v="1"/>
    <s v="Mumbai"/>
    <x v="1"/>
    <s v="Customer_2648"/>
    <x v="0"/>
    <x v="0"/>
    <n v="14"/>
    <n v="111067"/>
    <n v="78680"/>
    <n v="32387"/>
    <n v="0.29159876470958973"/>
    <x v="3"/>
  </r>
  <r>
    <s v="ORD00107"/>
    <s v="2025-12-06"/>
    <x v="1"/>
    <n v="2025"/>
    <x v="3"/>
    <s v="Chennai"/>
    <x v="2"/>
    <s v="Customer_5912"/>
    <x v="2"/>
    <x v="0"/>
    <n v="7"/>
    <n v="102169"/>
    <n v="54498"/>
    <n v="47671"/>
    <n v="0.46658967005647506"/>
    <x v="0"/>
  </r>
  <r>
    <s v="ORD00108"/>
    <s v="2025-08-26"/>
    <x v="10"/>
    <n v="2025"/>
    <x v="1"/>
    <s v="Pune"/>
    <x v="1"/>
    <s v="Customer_8374"/>
    <x v="1"/>
    <x v="0"/>
    <n v="10"/>
    <n v="6981"/>
    <n v="4892"/>
    <n v="2089"/>
    <n v="0.29924079644750035"/>
    <x v="2"/>
  </r>
  <r>
    <s v="ORD00109"/>
    <s v="2025-07-10"/>
    <x v="0"/>
    <n v="2025"/>
    <x v="1"/>
    <s v="Pune"/>
    <x v="6"/>
    <s v="Customer_8051"/>
    <x v="6"/>
    <x v="2"/>
    <n v="10"/>
    <n v="119290"/>
    <n v="81292"/>
    <n v="37998"/>
    <n v="0.31853466342526615"/>
    <x v="3"/>
  </r>
  <r>
    <s v="ORD00110"/>
    <s v="2025-08-22"/>
    <x v="10"/>
    <n v="2025"/>
    <x v="2"/>
    <s v="Delhi"/>
    <x v="3"/>
    <s v="Customer_7926"/>
    <x v="1"/>
    <x v="0"/>
    <n v="15"/>
    <n v="66234"/>
    <n v="36937"/>
    <n v="29297"/>
    <n v="0.4423256937524534"/>
    <x v="1"/>
  </r>
  <r>
    <s v="ORD00111"/>
    <s v="2025-06-30"/>
    <x v="9"/>
    <n v="2025"/>
    <x v="2"/>
    <s v="Delhi"/>
    <x v="0"/>
    <s v="Customer_2401"/>
    <x v="6"/>
    <x v="2"/>
    <n v="3"/>
    <n v="83398"/>
    <n v="50628"/>
    <n v="32770"/>
    <n v="0.39293508237607616"/>
    <x v="0"/>
  </r>
  <r>
    <s v="ORD00112"/>
    <s v="2025-01-03"/>
    <x v="5"/>
    <n v="2025"/>
    <x v="1"/>
    <s v="Pune"/>
    <x v="3"/>
    <s v="Customer_1867"/>
    <x v="3"/>
    <x v="1"/>
    <n v="2"/>
    <n v="48951"/>
    <n v="32194"/>
    <n v="16757"/>
    <n v="0.34232191375048515"/>
    <x v="0"/>
  </r>
  <r>
    <s v="ORD00113"/>
    <s v="2025-04-06"/>
    <x v="8"/>
    <n v="2025"/>
    <x v="3"/>
    <s v="Chennai"/>
    <x v="4"/>
    <s v="Customer_3686"/>
    <x v="3"/>
    <x v="1"/>
    <n v="2"/>
    <n v="10679"/>
    <n v="7788"/>
    <n v="2891"/>
    <n v="0.27071823204419887"/>
    <x v="0"/>
  </r>
  <r>
    <s v="ORD00114"/>
    <s v="2025-02-05"/>
    <x v="3"/>
    <n v="2025"/>
    <x v="2"/>
    <s v="Delhi"/>
    <x v="2"/>
    <s v="Customer_8673"/>
    <x v="1"/>
    <x v="0"/>
    <n v="19"/>
    <n v="13187"/>
    <n v="6935"/>
    <n v="6252"/>
    <n v="0.47410328353681658"/>
    <x v="0"/>
  </r>
  <r>
    <s v="ORD00115"/>
    <s v="2025-08-26"/>
    <x v="10"/>
    <n v="2025"/>
    <x v="0"/>
    <s v="Bhubaneswar"/>
    <x v="6"/>
    <s v="Customer_3045"/>
    <x v="4"/>
    <x v="2"/>
    <n v="23"/>
    <n v="80387"/>
    <n v="65583"/>
    <n v="14804"/>
    <n v="0.18415913020762065"/>
    <x v="1"/>
  </r>
  <r>
    <s v="ORD00116"/>
    <s v="2025-10-30"/>
    <x v="7"/>
    <n v="2025"/>
    <x v="0"/>
    <s v="Bhubaneswar"/>
    <x v="0"/>
    <s v="Customer_2387"/>
    <x v="0"/>
    <x v="0"/>
    <n v="10"/>
    <n v="115379"/>
    <n v="52285"/>
    <n v="63094"/>
    <n v="0.54684127960894102"/>
    <x v="0"/>
  </r>
  <r>
    <s v="ORD00117"/>
    <s v="2025-08-29"/>
    <x v="10"/>
    <n v="2025"/>
    <x v="1"/>
    <s v="Mumbai"/>
    <x v="5"/>
    <s v="Customer_4195"/>
    <x v="5"/>
    <x v="3"/>
    <n v="10"/>
    <n v="117459"/>
    <n v="67578"/>
    <n v="49881"/>
    <n v="0.42466733072816898"/>
    <x v="1"/>
  </r>
  <r>
    <s v="ORD00118"/>
    <s v="2025-01-16"/>
    <x v="5"/>
    <n v="2025"/>
    <x v="1"/>
    <s v="Pune"/>
    <x v="4"/>
    <s v="Customer_5273"/>
    <x v="3"/>
    <x v="1"/>
    <n v="2"/>
    <n v="113623"/>
    <n v="68538"/>
    <n v="45085"/>
    <n v="0.39679466305237499"/>
    <x v="0"/>
  </r>
  <r>
    <s v="ORD00119"/>
    <s v="2025-05-28"/>
    <x v="4"/>
    <n v="2025"/>
    <x v="1"/>
    <s v="Mumbai"/>
    <x v="2"/>
    <s v="Customer_9376"/>
    <x v="6"/>
    <x v="2"/>
    <n v="10"/>
    <n v="93216"/>
    <n v="42230"/>
    <n v="50986"/>
    <n v="0.5469661860624786"/>
    <x v="3"/>
  </r>
  <r>
    <s v="ORD00120"/>
    <s v="2025-05-10"/>
    <x v="4"/>
    <n v="2025"/>
    <x v="3"/>
    <s v="Bangalore"/>
    <x v="7"/>
    <s v="Customer_6574"/>
    <x v="3"/>
    <x v="1"/>
    <n v="1"/>
    <n v="100402"/>
    <n v="45957"/>
    <n v="54445"/>
    <n v="0.54227007430130869"/>
    <x v="1"/>
  </r>
  <r>
    <s v="ORD00121"/>
    <s v="2025-03-31"/>
    <x v="2"/>
    <n v="2025"/>
    <x v="0"/>
    <s v="Kolkata"/>
    <x v="2"/>
    <s v="Customer_9214"/>
    <x v="8"/>
    <x v="4"/>
    <n v="14"/>
    <n v="50964"/>
    <n v="34904"/>
    <n v="16060"/>
    <n v="0.31512440153834081"/>
    <x v="3"/>
  </r>
  <r>
    <s v="ORD00122"/>
    <s v="2025-02-02"/>
    <x v="3"/>
    <n v="2025"/>
    <x v="2"/>
    <s v="Chandigarh"/>
    <x v="3"/>
    <s v="Customer_7086"/>
    <x v="5"/>
    <x v="3"/>
    <n v="4"/>
    <n v="27584"/>
    <n v="16429"/>
    <n v="11155"/>
    <n v="0.40440110208816704"/>
    <x v="1"/>
  </r>
  <r>
    <s v="ORD00123"/>
    <s v="2025-07-10"/>
    <x v="0"/>
    <n v="2025"/>
    <x v="2"/>
    <s v="Delhi"/>
    <x v="4"/>
    <s v="Customer_5702"/>
    <x v="8"/>
    <x v="4"/>
    <n v="4"/>
    <n v="118000"/>
    <n v="97793"/>
    <n v="20207"/>
    <n v="0.1712457627118644"/>
    <x v="1"/>
  </r>
  <r>
    <s v="ORD00124"/>
    <s v="2025-02-10"/>
    <x v="3"/>
    <n v="2025"/>
    <x v="2"/>
    <s v="Delhi"/>
    <x v="1"/>
    <s v="Customer_3520"/>
    <x v="0"/>
    <x v="0"/>
    <n v="8"/>
    <n v="68355"/>
    <n v="42034"/>
    <n v="26321"/>
    <n v="0.38506327262087631"/>
    <x v="1"/>
  </r>
  <r>
    <s v="ORD00125"/>
    <s v="2025-04-11"/>
    <x v="8"/>
    <n v="2025"/>
    <x v="0"/>
    <s v="Kolkata"/>
    <x v="5"/>
    <s v="Customer_5461"/>
    <x v="6"/>
    <x v="2"/>
    <n v="7"/>
    <n v="11733"/>
    <n v="7667"/>
    <n v="4066"/>
    <n v="0.34654393590727012"/>
    <x v="3"/>
  </r>
  <r>
    <s v="ORD00126"/>
    <s v="2025-01-13"/>
    <x v="5"/>
    <n v="2025"/>
    <x v="2"/>
    <s v="Delhi"/>
    <x v="1"/>
    <s v="Customer_9203"/>
    <x v="3"/>
    <x v="1"/>
    <n v="2"/>
    <n v="86015"/>
    <n v="48082"/>
    <n v="37933"/>
    <n v="0.44100447596349474"/>
    <x v="3"/>
  </r>
  <r>
    <s v="ORD00127"/>
    <s v="2025-06-26"/>
    <x v="9"/>
    <n v="2025"/>
    <x v="1"/>
    <s v="Pune"/>
    <x v="7"/>
    <s v="Customer_8115"/>
    <x v="7"/>
    <x v="0"/>
    <n v="10"/>
    <n v="96416"/>
    <n v="78506"/>
    <n v="17910"/>
    <n v="0.18575755061400598"/>
    <x v="1"/>
  </r>
  <r>
    <s v="ORD00128"/>
    <s v="2025-05-19"/>
    <x v="4"/>
    <n v="2025"/>
    <x v="3"/>
    <s v="Chennai"/>
    <x v="5"/>
    <s v="Customer_8191"/>
    <x v="6"/>
    <x v="2"/>
    <n v="24"/>
    <n v="104748"/>
    <n v="87134"/>
    <n v="17614"/>
    <n v="0.16815595524496887"/>
    <x v="0"/>
  </r>
  <r>
    <s v="ORD00129"/>
    <s v="2025-04-10"/>
    <x v="8"/>
    <n v="2025"/>
    <x v="1"/>
    <s v="Mumbai"/>
    <x v="2"/>
    <s v="Customer_9358"/>
    <x v="3"/>
    <x v="1"/>
    <n v="7"/>
    <n v="80405"/>
    <n v="59337"/>
    <n v="21068"/>
    <n v="0.2620235060008706"/>
    <x v="0"/>
  </r>
  <r>
    <s v="ORD00130"/>
    <s v="2025-03-25"/>
    <x v="2"/>
    <n v="2025"/>
    <x v="2"/>
    <s v="Delhi"/>
    <x v="6"/>
    <s v="Customer_6866"/>
    <x v="4"/>
    <x v="2"/>
    <n v="10"/>
    <n v="53870"/>
    <n v="34482"/>
    <n v="19388"/>
    <n v="0.35990347131984407"/>
    <x v="3"/>
  </r>
  <r>
    <s v="ORD00131"/>
    <s v="2025-01-13"/>
    <x v="5"/>
    <n v="2025"/>
    <x v="0"/>
    <s v="Kolkata"/>
    <x v="0"/>
    <s v="Customer_4850"/>
    <x v="3"/>
    <x v="1"/>
    <n v="16"/>
    <n v="50526"/>
    <n v="40959"/>
    <n v="9567"/>
    <n v="0.18934805842536515"/>
    <x v="3"/>
  </r>
  <r>
    <s v="ORD00132"/>
    <s v="2025-12-07"/>
    <x v="1"/>
    <n v="2025"/>
    <x v="1"/>
    <s v="Pune"/>
    <x v="5"/>
    <s v="Customer_3255"/>
    <x v="8"/>
    <x v="4"/>
    <n v="14"/>
    <n v="62709"/>
    <n v="37740"/>
    <n v="24969"/>
    <n v="0.39817251112280533"/>
    <x v="1"/>
  </r>
  <r>
    <s v="ORD00133"/>
    <s v="2025-04-13"/>
    <x v="8"/>
    <n v="2025"/>
    <x v="3"/>
    <s v="Chennai"/>
    <x v="4"/>
    <s v="Customer_6269"/>
    <x v="8"/>
    <x v="4"/>
    <n v="21"/>
    <n v="86790"/>
    <n v="63136"/>
    <n v="23654"/>
    <n v="0.27254291969120864"/>
    <x v="3"/>
  </r>
  <r>
    <s v="ORD00134"/>
    <s v="2025-01-19"/>
    <x v="5"/>
    <n v="2025"/>
    <x v="3"/>
    <s v="Chennai"/>
    <x v="4"/>
    <s v="Customer_7317"/>
    <x v="8"/>
    <x v="4"/>
    <n v="7"/>
    <n v="117906"/>
    <n v="81050"/>
    <n v="36856"/>
    <n v="0.31258799382558988"/>
    <x v="3"/>
  </r>
  <r>
    <s v="ORD00135"/>
    <s v="2025-11-01"/>
    <x v="11"/>
    <n v="2025"/>
    <x v="0"/>
    <s v="Kolkata"/>
    <x v="7"/>
    <s v="Customer_1805"/>
    <x v="0"/>
    <x v="0"/>
    <n v="2"/>
    <n v="47768"/>
    <n v="28974"/>
    <n v="18794"/>
    <n v="0.3934433093284207"/>
    <x v="2"/>
  </r>
  <r>
    <s v="ORD00136"/>
    <s v="2025-05-23"/>
    <x v="4"/>
    <n v="2025"/>
    <x v="0"/>
    <s v="Kolkata"/>
    <x v="7"/>
    <s v="Customer_1196"/>
    <x v="3"/>
    <x v="1"/>
    <n v="20"/>
    <n v="89830"/>
    <n v="65674"/>
    <n v="24156"/>
    <n v="0.26890793721473893"/>
    <x v="2"/>
  </r>
  <r>
    <s v="ORD00137"/>
    <s v="2025-03-29"/>
    <x v="2"/>
    <n v="2025"/>
    <x v="0"/>
    <s v="Bhubaneswar"/>
    <x v="1"/>
    <s v="Customer_1590"/>
    <x v="5"/>
    <x v="3"/>
    <n v="24"/>
    <n v="23138"/>
    <n v="12714"/>
    <n v="10424"/>
    <n v="0.45051430547151872"/>
    <x v="2"/>
  </r>
  <r>
    <s v="ORD00138"/>
    <s v="2025-11-29"/>
    <x v="11"/>
    <n v="2025"/>
    <x v="2"/>
    <s v="Chandigarh"/>
    <x v="7"/>
    <s v="Customer_4731"/>
    <x v="5"/>
    <x v="3"/>
    <n v="12"/>
    <n v="73974"/>
    <n v="47455"/>
    <n v="26519"/>
    <n v="0.35849082109930513"/>
    <x v="3"/>
  </r>
  <r>
    <s v="ORD00139"/>
    <s v="2025-04-09"/>
    <x v="8"/>
    <n v="2025"/>
    <x v="1"/>
    <s v="Pune"/>
    <x v="0"/>
    <s v="Customer_4113"/>
    <x v="6"/>
    <x v="2"/>
    <n v="8"/>
    <n v="56442"/>
    <n v="39344"/>
    <n v="17098"/>
    <n v="0.30293044186952978"/>
    <x v="0"/>
  </r>
  <r>
    <s v="ORD00140"/>
    <s v="2025-05-05"/>
    <x v="4"/>
    <n v="2025"/>
    <x v="3"/>
    <s v="Chennai"/>
    <x v="1"/>
    <s v="Customer_2791"/>
    <x v="1"/>
    <x v="0"/>
    <n v="20"/>
    <n v="63532"/>
    <n v="35956"/>
    <n v="27576"/>
    <n v="0.43404898318957374"/>
    <x v="1"/>
  </r>
  <r>
    <s v="ORD00141"/>
    <s v="2025-04-19"/>
    <x v="8"/>
    <n v="2025"/>
    <x v="0"/>
    <s v="Kolkata"/>
    <x v="5"/>
    <s v="Customer_3491"/>
    <x v="7"/>
    <x v="0"/>
    <n v="2"/>
    <n v="63107"/>
    <n v="53128"/>
    <n v="9979"/>
    <n v="0.15812825835485761"/>
    <x v="3"/>
  </r>
  <r>
    <s v="ORD00142"/>
    <s v="2025-03-18"/>
    <x v="2"/>
    <n v="2025"/>
    <x v="0"/>
    <s v="Kolkata"/>
    <x v="4"/>
    <s v="Customer_9850"/>
    <x v="4"/>
    <x v="2"/>
    <n v="12"/>
    <n v="74346"/>
    <n v="35689"/>
    <n v="38657"/>
    <n v="0.51996072418152961"/>
    <x v="3"/>
  </r>
  <r>
    <s v="ORD00143"/>
    <s v="2025-11-11"/>
    <x v="11"/>
    <n v="2025"/>
    <x v="3"/>
    <s v="Bangalore"/>
    <x v="7"/>
    <s v="Customer_9692"/>
    <x v="7"/>
    <x v="0"/>
    <n v="4"/>
    <n v="74953"/>
    <n v="48973"/>
    <n v="25980"/>
    <n v="0.34661721345376434"/>
    <x v="2"/>
  </r>
  <r>
    <s v="ORD00144"/>
    <s v="2025-10-07"/>
    <x v="7"/>
    <n v="2025"/>
    <x v="2"/>
    <s v="Delhi"/>
    <x v="7"/>
    <s v="Customer_9779"/>
    <x v="3"/>
    <x v="1"/>
    <n v="4"/>
    <n v="15496"/>
    <n v="9208"/>
    <n v="6288"/>
    <n v="0.40578213732576146"/>
    <x v="2"/>
  </r>
  <r>
    <s v="ORD00145"/>
    <s v="2025-07-04"/>
    <x v="0"/>
    <n v="2025"/>
    <x v="2"/>
    <s v="Chandigarh"/>
    <x v="6"/>
    <s v="Customer_5567"/>
    <x v="4"/>
    <x v="2"/>
    <n v="20"/>
    <n v="92817"/>
    <n v="73156"/>
    <n v="19661"/>
    <n v="0.21182541991230056"/>
    <x v="0"/>
  </r>
  <r>
    <s v="ORD00146"/>
    <s v="2025-05-24"/>
    <x v="4"/>
    <n v="2025"/>
    <x v="1"/>
    <s v="Pune"/>
    <x v="7"/>
    <s v="Customer_9863"/>
    <x v="0"/>
    <x v="0"/>
    <n v="12"/>
    <n v="80675"/>
    <n v="40639"/>
    <n v="40036"/>
    <n v="0.49626278277037494"/>
    <x v="3"/>
  </r>
  <r>
    <s v="ORD00147"/>
    <s v="2025-05-11"/>
    <x v="4"/>
    <n v="2025"/>
    <x v="2"/>
    <s v="Chandigarh"/>
    <x v="0"/>
    <s v="Customer_3260"/>
    <x v="3"/>
    <x v="1"/>
    <n v="9"/>
    <n v="31522"/>
    <n v="15598"/>
    <n v="15924"/>
    <n v="0.50517099168834467"/>
    <x v="2"/>
  </r>
  <r>
    <s v="ORD00148"/>
    <s v="2025-03-15"/>
    <x v="2"/>
    <n v="2025"/>
    <x v="0"/>
    <s v="Bhubaneswar"/>
    <x v="7"/>
    <s v="Customer_6978"/>
    <x v="3"/>
    <x v="1"/>
    <n v="6"/>
    <n v="68060"/>
    <n v="45099"/>
    <n v="22961"/>
    <n v="0.33736409050837496"/>
    <x v="0"/>
  </r>
  <r>
    <s v="ORD00149"/>
    <s v="2025-10-31"/>
    <x v="7"/>
    <n v="2025"/>
    <x v="1"/>
    <s v="Pune"/>
    <x v="7"/>
    <s v="Customer_9668"/>
    <x v="2"/>
    <x v="0"/>
    <n v="4"/>
    <n v="5373"/>
    <n v="3758"/>
    <n v="1615"/>
    <n v="0.30057695886841618"/>
    <x v="2"/>
  </r>
  <r>
    <s v="ORD00150"/>
    <s v="2025-05-28"/>
    <x v="4"/>
    <n v="2025"/>
    <x v="3"/>
    <s v="Chennai"/>
    <x v="5"/>
    <s v="Customer_2016"/>
    <x v="0"/>
    <x v="0"/>
    <n v="10"/>
    <n v="61118"/>
    <n v="46134"/>
    <n v="14984"/>
    <n v="0.24516509048070945"/>
    <x v="2"/>
  </r>
  <r>
    <s v="ORD00151"/>
    <s v="2025-02-03"/>
    <x v="3"/>
    <n v="2025"/>
    <x v="3"/>
    <s v="Chennai"/>
    <x v="0"/>
    <s v="Customer_2303"/>
    <x v="3"/>
    <x v="1"/>
    <n v="25"/>
    <n v="14943"/>
    <n v="7027"/>
    <n v="7916"/>
    <n v="0.52974636953757614"/>
    <x v="3"/>
  </r>
  <r>
    <s v="ORD00152"/>
    <s v="2025-03-05"/>
    <x v="2"/>
    <n v="2025"/>
    <x v="1"/>
    <s v="Mumbai"/>
    <x v="5"/>
    <s v="Customer_7133"/>
    <x v="5"/>
    <x v="3"/>
    <n v="18"/>
    <n v="72962"/>
    <n v="33138"/>
    <n v="39824"/>
    <n v="0.54581837120692966"/>
    <x v="1"/>
  </r>
  <r>
    <s v="ORD00153"/>
    <s v="2025-03-12"/>
    <x v="2"/>
    <n v="2025"/>
    <x v="2"/>
    <s v="Chandigarh"/>
    <x v="3"/>
    <s v="Customer_2235"/>
    <x v="4"/>
    <x v="2"/>
    <n v="7"/>
    <n v="99841"/>
    <n v="59701"/>
    <n v="40140"/>
    <n v="0.40203924239540872"/>
    <x v="2"/>
  </r>
  <r>
    <s v="ORD00154"/>
    <s v="2025-12-25"/>
    <x v="1"/>
    <n v="2025"/>
    <x v="0"/>
    <s v="Kolkata"/>
    <x v="6"/>
    <s v="Customer_7988"/>
    <x v="6"/>
    <x v="2"/>
    <n v="25"/>
    <n v="81937"/>
    <n v="39246"/>
    <n v="42691"/>
    <n v="0.52102224880090797"/>
    <x v="3"/>
  </r>
  <r>
    <s v="ORD00155"/>
    <s v="2025-05-03"/>
    <x v="4"/>
    <n v="2025"/>
    <x v="1"/>
    <s v="Mumbai"/>
    <x v="3"/>
    <s v="Customer_8873"/>
    <x v="5"/>
    <x v="3"/>
    <n v="17"/>
    <n v="4662"/>
    <n v="2142"/>
    <n v="2520"/>
    <n v="0.54054054054054057"/>
    <x v="2"/>
  </r>
  <r>
    <s v="ORD00156"/>
    <s v="2025-06-01"/>
    <x v="9"/>
    <n v="2025"/>
    <x v="2"/>
    <s v="Delhi"/>
    <x v="5"/>
    <s v="Customer_8091"/>
    <x v="6"/>
    <x v="2"/>
    <n v="8"/>
    <n v="3886"/>
    <n v="1812"/>
    <n v="2074"/>
    <n v="0.5337107565620175"/>
    <x v="0"/>
  </r>
  <r>
    <s v="ORD00157"/>
    <s v="2025-06-08"/>
    <x v="9"/>
    <n v="2025"/>
    <x v="3"/>
    <s v="Bangalore"/>
    <x v="5"/>
    <s v="Customer_5958"/>
    <x v="5"/>
    <x v="3"/>
    <n v="15"/>
    <n v="87778"/>
    <n v="53644"/>
    <n v="34134"/>
    <n v="0.38886736995602544"/>
    <x v="1"/>
  </r>
  <r>
    <s v="ORD00158"/>
    <s v="2025-09-27"/>
    <x v="6"/>
    <n v="2025"/>
    <x v="2"/>
    <s v="Chandigarh"/>
    <x v="5"/>
    <s v="Customer_2097"/>
    <x v="6"/>
    <x v="2"/>
    <n v="18"/>
    <n v="59335"/>
    <n v="42521"/>
    <n v="16814"/>
    <n v="0.28337406252633351"/>
    <x v="0"/>
  </r>
  <r>
    <s v="ORD00159"/>
    <s v="2025-11-20"/>
    <x v="11"/>
    <n v="2025"/>
    <x v="0"/>
    <s v="Bhubaneswar"/>
    <x v="3"/>
    <s v="Customer_5662"/>
    <x v="3"/>
    <x v="1"/>
    <n v="5"/>
    <n v="98262"/>
    <n v="69752"/>
    <n v="28510"/>
    <n v="0.29014267977448049"/>
    <x v="2"/>
  </r>
  <r>
    <s v="ORD00160"/>
    <s v="2025-11-23"/>
    <x v="11"/>
    <n v="2025"/>
    <x v="2"/>
    <s v="Delhi"/>
    <x v="3"/>
    <s v="Customer_5650"/>
    <x v="8"/>
    <x v="4"/>
    <n v="14"/>
    <n v="83596"/>
    <n v="70929"/>
    <n v="12667"/>
    <n v="0.15152638882243169"/>
    <x v="2"/>
  </r>
  <r>
    <s v="ORD00161"/>
    <s v="2025-11-01"/>
    <x v="11"/>
    <n v="2025"/>
    <x v="3"/>
    <s v="Bangalore"/>
    <x v="4"/>
    <s v="Customer_4032"/>
    <x v="1"/>
    <x v="0"/>
    <n v="10"/>
    <n v="108874"/>
    <n v="90854"/>
    <n v="18020"/>
    <n v="0.16551242720943476"/>
    <x v="1"/>
  </r>
  <r>
    <s v="ORD00162"/>
    <s v="2025-03-21"/>
    <x v="2"/>
    <n v="2025"/>
    <x v="0"/>
    <s v="Bhubaneswar"/>
    <x v="2"/>
    <s v="Customer_6881"/>
    <x v="1"/>
    <x v="0"/>
    <n v="5"/>
    <n v="64192"/>
    <n v="50486"/>
    <n v="13706"/>
    <n v="0.21351570289132601"/>
    <x v="0"/>
  </r>
  <r>
    <s v="ORD00163"/>
    <s v="2025-01-01"/>
    <x v="5"/>
    <n v="2025"/>
    <x v="2"/>
    <s v="Delhi"/>
    <x v="1"/>
    <s v="Customer_2618"/>
    <x v="4"/>
    <x v="2"/>
    <n v="11"/>
    <n v="83050"/>
    <n v="56258"/>
    <n v="26792"/>
    <n v="0.32260084286574353"/>
    <x v="1"/>
  </r>
  <r>
    <s v="ORD00164"/>
    <s v="2025-01-29"/>
    <x v="5"/>
    <n v="2025"/>
    <x v="0"/>
    <s v="Kolkata"/>
    <x v="4"/>
    <s v="Customer_1457"/>
    <x v="7"/>
    <x v="0"/>
    <n v="7"/>
    <n v="111401"/>
    <n v="68376"/>
    <n v="43025"/>
    <n v="0.38621735891060222"/>
    <x v="2"/>
  </r>
  <r>
    <s v="ORD00165"/>
    <s v="2025-11-13"/>
    <x v="11"/>
    <n v="2025"/>
    <x v="0"/>
    <s v="Bhubaneswar"/>
    <x v="6"/>
    <s v="Customer_6566"/>
    <x v="2"/>
    <x v="0"/>
    <n v="3"/>
    <n v="113994"/>
    <n v="73980"/>
    <n v="40014"/>
    <n v="0.35101847465656089"/>
    <x v="0"/>
  </r>
  <r>
    <s v="ORD00166"/>
    <s v="2025-07-01"/>
    <x v="0"/>
    <n v="2025"/>
    <x v="2"/>
    <s v="Delhi"/>
    <x v="6"/>
    <s v="Customer_6310"/>
    <x v="2"/>
    <x v="0"/>
    <n v="1"/>
    <n v="92494"/>
    <n v="63716"/>
    <n v="28778"/>
    <n v="0.31113369515860489"/>
    <x v="1"/>
  </r>
  <r>
    <s v="ORD00167"/>
    <s v="2025-10-17"/>
    <x v="7"/>
    <n v="2025"/>
    <x v="3"/>
    <s v="Chennai"/>
    <x v="6"/>
    <s v="Customer_9946"/>
    <x v="1"/>
    <x v="0"/>
    <n v="10"/>
    <n v="39513"/>
    <n v="22529"/>
    <n v="16984"/>
    <n v="0.42983321944676434"/>
    <x v="2"/>
  </r>
  <r>
    <s v="ORD00168"/>
    <s v="2025-09-16"/>
    <x v="6"/>
    <n v="2025"/>
    <x v="1"/>
    <s v="Pune"/>
    <x v="6"/>
    <s v="Customer_4258"/>
    <x v="8"/>
    <x v="4"/>
    <n v="23"/>
    <n v="45486"/>
    <n v="24387"/>
    <n v="21099"/>
    <n v="0.46385701094842369"/>
    <x v="2"/>
  </r>
  <r>
    <s v="ORD00169"/>
    <s v="2025-07-25"/>
    <x v="0"/>
    <n v="2025"/>
    <x v="0"/>
    <s v="Kolkata"/>
    <x v="7"/>
    <s v="Customer_9343"/>
    <x v="3"/>
    <x v="1"/>
    <n v="13"/>
    <n v="114188"/>
    <n v="65197"/>
    <n v="48991"/>
    <n v="0.42903807755631063"/>
    <x v="0"/>
  </r>
  <r>
    <s v="ORD00170"/>
    <s v="2025-03-02"/>
    <x v="2"/>
    <n v="2025"/>
    <x v="2"/>
    <s v="Chandigarh"/>
    <x v="4"/>
    <s v="Customer_3971"/>
    <x v="3"/>
    <x v="1"/>
    <n v="25"/>
    <n v="87666"/>
    <n v="46958"/>
    <n v="40708"/>
    <n v="0.46435334109004633"/>
    <x v="0"/>
  </r>
  <r>
    <s v="ORD00171"/>
    <s v="2025-09-01"/>
    <x v="6"/>
    <n v="2025"/>
    <x v="2"/>
    <s v="Chandigarh"/>
    <x v="2"/>
    <s v="Customer_3579"/>
    <x v="4"/>
    <x v="2"/>
    <n v="15"/>
    <n v="104441"/>
    <n v="77873"/>
    <n v="26568"/>
    <n v="0.25438285730699628"/>
    <x v="2"/>
  </r>
  <r>
    <s v="ORD00172"/>
    <s v="2025-09-17"/>
    <x v="6"/>
    <n v="2025"/>
    <x v="3"/>
    <s v="Chennai"/>
    <x v="6"/>
    <s v="Customer_6580"/>
    <x v="8"/>
    <x v="4"/>
    <n v="15"/>
    <n v="68446"/>
    <n v="43213"/>
    <n v="25233"/>
    <n v="0.36865558250299507"/>
    <x v="0"/>
  </r>
  <r>
    <s v="ORD00173"/>
    <s v="2025-05-19"/>
    <x v="4"/>
    <n v="2025"/>
    <x v="3"/>
    <s v="Chennai"/>
    <x v="0"/>
    <s v="Customer_1922"/>
    <x v="1"/>
    <x v="0"/>
    <n v="24"/>
    <n v="50501"/>
    <n v="41771"/>
    <n v="8730"/>
    <n v="0.17286786400269302"/>
    <x v="2"/>
  </r>
  <r>
    <s v="ORD00175"/>
    <s v="2025-09-13"/>
    <x v="6"/>
    <n v="2025"/>
    <x v="2"/>
    <s v="Delhi"/>
    <x v="0"/>
    <s v="Customer_7160"/>
    <x v="0"/>
    <x v="0"/>
    <n v="13"/>
    <n v="62132"/>
    <n v="36033"/>
    <n v="26099"/>
    <n v="0.42005729736689629"/>
    <x v="2"/>
  </r>
  <r>
    <s v="ORD00176"/>
    <s v="2025-01-01"/>
    <x v="5"/>
    <n v="2025"/>
    <x v="1"/>
    <s v="Pune"/>
    <x v="2"/>
    <s v="Customer_1293"/>
    <x v="7"/>
    <x v="0"/>
    <n v="16"/>
    <n v="65678"/>
    <n v="38960"/>
    <n v="26718"/>
    <n v="0.40680288681141324"/>
    <x v="0"/>
  </r>
  <r>
    <s v="ORD00177"/>
    <s v="2025-08-05"/>
    <x v="10"/>
    <n v="2025"/>
    <x v="0"/>
    <s v="Bhubaneswar"/>
    <x v="6"/>
    <s v="Customer_7163"/>
    <x v="1"/>
    <x v="0"/>
    <n v="1"/>
    <n v="99090"/>
    <n v="54197"/>
    <n v="44893"/>
    <n v="0.4530527803007367"/>
    <x v="2"/>
  </r>
  <r>
    <s v="ORD00178"/>
    <s v="2025-02-16"/>
    <x v="3"/>
    <n v="2025"/>
    <x v="0"/>
    <s v="Kolkata"/>
    <x v="4"/>
    <s v="Customer_7005"/>
    <x v="3"/>
    <x v="1"/>
    <n v="7"/>
    <n v="45796"/>
    <n v="34370"/>
    <n v="11426"/>
    <n v="0.24949777273124291"/>
    <x v="1"/>
  </r>
  <r>
    <s v="ORD00179"/>
    <s v="2025-12-09"/>
    <x v="1"/>
    <n v="2025"/>
    <x v="2"/>
    <s v="Chandigarh"/>
    <x v="3"/>
    <s v="Customer_1720"/>
    <x v="8"/>
    <x v="4"/>
    <n v="9"/>
    <n v="11951"/>
    <n v="6543"/>
    <n v="5408"/>
    <n v="0.45251443393858254"/>
    <x v="1"/>
  </r>
  <r>
    <s v="ORD00180"/>
    <s v="2025-12-21"/>
    <x v="1"/>
    <n v="2025"/>
    <x v="1"/>
    <s v="Pune"/>
    <x v="5"/>
    <s v="Customer_9619"/>
    <x v="0"/>
    <x v="0"/>
    <n v="23"/>
    <n v="49805"/>
    <n v="28181"/>
    <n v="21624"/>
    <n v="0.43417327577552456"/>
    <x v="0"/>
  </r>
  <r>
    <s v="ORD00181"/>
    <s v="2025-07-28"/>
    <x v="0"/>
    <n v="2025"/>
    <x v="2"/>
    <s v="Chandigarh"/>
    <x v="7"/>
    <s v="Customer_2560"/>
    <x v="0"/>
    <x v="0"/>
    <n v="5"/>
    <n v="52181"/>
    <n v="34213"/>
    <n v="17968"/>
    <n v="0.34433989383108793"/>
    <x v="3"/>
  </r>
  <r>
    <s v="ORD00182"/>
    <s v="2025-11-11"/>
    <x v="11"/>
    <n v="2025"/>
    <x v="2"/>
    <s v="Delhi"/>
    <x v="0"/>
    <s v="Customer_2747"/>
    <x v="7"/>
    <x v="0"/>
    <n v="9"/>
    <n v="48778"/>
    <n v="38792"/>
    <n v="9986"/>
    <n v="0.20472344089548566"/>
    <x v="3"/>
  </r>
  <r>
    <s v="ORD00183"/>
    <s v="2025-12-04"/>
    <x v="1"/>
    <n v="2025"/>
    <x v="3"/>
    <s v="Chennai"/>
    <x v="5"/>
    <s v="Customer_7730"/>
    <x v="3"/>
    <x v="1"/>
    <n v="2"/>
    <n v="54240"/>
    <n v="40218"/>
    <n v="14022"/>
    <n v="0.25851769911504424"/>
    <x v="1"/>
  </r>
  <r>
    <s v="ORD00184"/>
    <s v="2025-11-11"/>
    <x v="11"/>
    <n v="2025"/>
    <x v="3"/>
    <s v="Chennai"/>
    <x v="2"/>
    <s v="Customer_6536"/>
    <x v="4"/>
    <x v="2"/>
    <n v="12"/>
    <n v="82502"/>
    <n v="64884"/>
    <n v="17618"/>
    <n v="0.21354633827058739"/>
    <x v="1"/>
  </r>
  <r>
    <s v="ORD00185"/>
    <s v="2025-10-04"/>
    <x v="7"/>
    <n v="2025"/>
    <x v="0"/>
    <s v="Bhubaneswar"/>
    <x v="1"/>
    <s v="Customer_1498"/>
    <x v="7"/>
    <x v="0"/>
    <n v="15"/>
    <n v="10398"/>
    <n v="7931"/>
    <n v="2467"/>
    <n v="0.23725716483939219"/>
    <x v="3"/>
  </r>
  <r>
    <s v="ORD00186"/>
    <s v="2025-03-10"/>
    <x v="2"/>
    <n v="2025"/>
    <x v="2"/>
    <s v="Chandigarh"/>
    <x v="2"/>
    <s v="Customer_5464"/>
    <x v="6"/>
    <x v="2"/>
    <n v="6"/>
    <n v="5792"/>
    <n v="4333"/>
    <n v="1459"/>
    <n v="0.25189917127071826"/>
    <x v="0"/>
  </r>
  <r>
    <s v="ORD00187"/>
    <s v="2025-07-21"/>
    <x v="0"/>
    <n v="2025"/>
    <x v="1"/>
    <s v="Mumbai"/>
    <x v="7"/>
    <s v="Customer_8135"/>
    <x v="4"/>
    <x v="2"/>
    <n v="9"/>
    <n v="68651"/>
    <n v="55295"/>
    <n v="13356"/>
    <n v="0.19454924181730784"/>
    <x v="2"/>
  </r>
  <r>
    <s v="ORD00188"/>
    <s v="2025-12-20"/>
    <x v="1"/>
    <n v="2025"/>
    <x v="3"/>
    <s v="Bangalore"/>
    <x v="6"/>
    <s v="Customer_2664"/>
    <x v="5"/>
    <x v="3"/>
    <n v="17"/>
    <n v="19015"/>
    <n v="13739"/>
    <n v="5276"/>
    <n v="0.27746515908493297"/>
    <x v="3"/>
  </r>
  <r>
    <s v="ORD00190"/>
    <s v="2025-06-26"/>
    <x v="9"/>
    <n v="2025"/>
    <x v="3"/>
    <s v="Chennai"/>
    <x v="1"/>
    <s v="Customer_8496"/>
    <x v="4"/>
    <x v="2"/>
    <n v="5"/>
    <n v="109956"/>
    <n v="72963"/>
    <n v="36993"/>
    <n v="0.33643457382953179"/>
    <x v="1"/>
  </r>
  <r>
    <s v="ORD00191"/>
    <s v="2025-05-02"/>
    <x v="4"/>
    <n v="2025"/>
    <x v="3"/>
    <s v="Chennai"/>
    <x v="7"/>
    <s v="Customer_1210"/>
    <x v="4"/>
    <x v="2"/>
    <n v="10"/>
    <n v="66834"/>
    <n v="54790"/>
    <n v="12044"/>
    <n v="0.18020767872639673"/>
    <x v="2"/>
  </r>
  <r>
    <s v="ORD00192"/>
    <s v="2025-02-07"/>
    <x v="3"/>
    <n v="2025"/>
    <x v="1"/>
    <s v="Mumbai"/>
    <x v="3"/>
    <s v="Customer_7604"/>
    <x v="6"/>
    <x v="2"/>
    <n v="2"/>
    <n v="54037"/>
    <n v="34007"/>
    <n v="20030"/>
    <n v="0.37067194699927825"/>
    <x v="0"/>
  </r>
  <r>
    <s v="ORD00193"/>
    <s v="2025-01-05"/>
    <x v="5"/>
    <n v="2025"/>
    <x v="2"/>
    <s v="Delhi"/>
    <x v="5"/>
    <s v="Customer_1193"/>
    <x v="8"/>
    <x v="4"/>
    <n v="24"/>
    <n v="53789"/>
    <n v="27274"/>
    <n v="26515"/>
    <n v="0.4929446541114354"/>
    <x v="3"/>
  </r>
  <r>
    <s v="ORD00194"/>
    <s v="2025-10-11"/>
    <x v="7"/>
    <n v="2025"/>
    <x v="2"/>
    <s v="Chandigarh"/>
    <x v="4"/>
    <s v="Customer_5743"/>
    <x v="2"/>
    <x v="0"/>
    <n v="13"/>
    <n v="21450"/>
    <n v="16964"/>
    <n v="4486"/>
    <n v="0.20913752913752914"/>
    <x v="3"/>
  </r>
  <r>
    <s v="ORD00195"/>
    <s v="2025-01-04"/>
    <x v="5"/>
    <n v="2025"/>
    <x v="3"/>
    <s v="Bangalore"/>
    <x v="2"/>
    <s v="Customer_3530"/>
    <x v="5"/>
    <x v="3"/>
    <n v="18"/>
    <n v="65436"/>
    <n v="31380"/>
    <n v="34056"/>
    <n v="0.52044746011369891"/>
    <x v="3"/>
  </r>
  <r>
    <s v="ORD00196"/>
    <s v="2025-05-10"/>
    <x v="4"/>
    <n v="2025"/>
    <x v="1"/>
    <s v="Pune"/>
    <x v="2"/>
    <s v="Customer_6324"/>
    <x v="1"/>
    <x v="0"/>
    <n v="20"/>
    <n v="83841"/>
    <n v="57215"/>
    <n v="26626"/>
    <n v="0.3175773189728176"/>
    <x v="0"/>
  </r>
  <r>
    <s v="ORD00197"/>
    <s v="2025-03-02"/>
    <x v="2"/>
    <n v="2025"/>
    <x v="0"/>
    <s v="Bhubaneswar"/>
    <x v="3"/>
    <s v="Customer_1228"/>
    <x v="8"/>
    <x v="4"/>
    <n v="20"/>
    <n v="51657"/>
    <n v="30349"/>
    <n v="21308"/>
    <n v="0.41249007878893468"/>
    <x v="3"/>
  </r>
  <r>
    <s v="ORD00198"/>
    <s v="2025-02-23"/>
    <x v="3"/>
    <n v="2025"/>
    <x v="2"/>
    <s v="Chandigarh"/>
    <x v="4"/>
    <s v="Customer_4688"/>
    <x v="5"/>
    <x v="3"/>
    <n v="12"/>
    <n v="114094"/>
    <n v="68921"/>
    <n v="45173"/>
    <n v="0.39592791908426384"/>
    <x v="3"/>
  </r>
  <r>
    <s v="ORD00199"/>
    <s v="2025-06-21"/>
    <x v="9"/>
    <n v="2025"/>
    <x v="1"/>
    <s v="Mumbai"/>
    <x v="2"/>
    <s v="Customer_8056"/>
    <x v="2"/>
    <x v="0"/>
    <n v="14"/>
    <n v="5813"/>
    <n v="3284"/>
    <n v="2529"/>
    <n v="0.43505934973335625"/>
    <x v="1"/>
  </r>
  <r>
    <s v="ORD00200"/>
    <s v="2025-01-19"/>
    <x v="5"/>
    <n v="2025"/>
    <x v="0"/>
    <s v="Kolkata"/>
    <x v="1"/>
    <s v="Customer_6604"/>
    <x v="8"/>
    <x v="4"/>
    <n v="1"/>
    <n v="91637"/>
    <n v="44406"/>
    <n v="47231"/>
    <n v="0.51541407946571804"/>
    <x v="2"/>
  </r>
  <r>
    <s v="ORD00201"/>
    <s v="2025-07-21"/>
    <x v="0"/>
    <n v="2025"/>
    <x v="0"/>
    <s v="Kolkata"/>
    <x v="3"/>
    <s v="Customer_7431"/>
    <x v="7"/>
    <x v="0"/>
    <n v="20"/>
    <n v="84262"/>
    <n v="46551"/>
    <n v="37711"/>
    <n v="0.44754456338563053"/>
    <x v="0"/>
  </r>
  <r>
    <s v="ORD00202"/>
    <s v="2025-07-05"/>
    <x v="0"/>
    <n v="2025"/>
    <x v="2"/>
    <s v="Delhi"/>
    <x v="5"/>
    <s v="Customer_2239"/>
    <x v="4"/>
    <x v="2"/>
    <n v="11"/>
    <n v="20320"/>
    <n v="15137"/>
    <n v="5183"/>
    <n v="0.25506889763779528"/>
    <x v="1"/>
  </r>
  <r>
    <s v="ORD00203"/>
    <s v="2025-03-06"/>
    <x v="2"/>
    <n v="2025"/>
    <x v="0"/>
    <s v="Kolkata"/>
    <x v="2"/>
    <s v="Customer_9233"/>
    <x v="2"/>
    <x v="0"/>
    <n v="25"/>
    <n v="15852"/>
    <n v="12091"/>
    <n v="3761"/>
    <n v="0.23725712843805197"/>
    <x v="3"/>
  </r>
  <r>
    <s v="ORD00204"/>
    <s v="2025-04-16"/>
    <x v="8"/>
    <n v="2025"/>
    <x v="1"/>
    <s v="Mumbai"/>
    <x v="5"/>
    <s v="Customer_4477"/>
    <x v="2"/>
    <x v="0"/>
    <n v="10"/>
    <n v="98768"/>
    <n v="56132"/>
    <n v="42636"/>
    <n v="0.43167827636481454"/>
    <x v="0"/>
  </r>
  <r>
    <s v="ORD00205"/>
    <s v="2025-05-20"/>
    <x v="4"/>
    <n v="2025"/>
    <x v="2"/>
    <s v="Chandigarh"/>
    <x v="5"/>
    <s v="Customer_3474"/>
    <x v="1"/>
    <x v="0"/>
    <n v="25"/>
    <n v="77363"/>
    <n v="65217"/>
    <n v="12146"/>
    <n v="0.15700011633468194"/>
    <x v="1"/>
  </r>
  <r>
    <s v="ORD00206"/>
    <s v="2025-02-18"/>
    <x v="3"/>
    <n v="2025"/>
    <x v="2"/>
    <s v="Chandigarh"/>
    <x v="1"/>
    <s v="Customer_7635"/>
    <x v="7"/>
    <x v="0"/>
    <n v="13"/>
    <n v="104226"/>
    <n v="52541"/>
    <n v="51685"/>
    <n v="0.4958935390401627"/>
    <x v="2"/>
  </r>
  <r>
    <s v="ORD00207"/>
    <s v="2025-09-07"/>
    <x v="6"/>
    <n v="2025"/>
    <x v="0"/>
    <s v="Bhubaneswar"/>
    <x v="0"/>
    <s v="Customer_9749"/>
    <x v="8"/>
    <x v="4"/>
    <n v="25"/>
    <n v="22859"/>
    <n v="18764"/>
    <n v="4095"/>
    <n v="0.1791416947373026"/>
    <x v="2"/>
  </r>
  <r>
    <s v="ORD00208"/>
    <s v="2025-01-25"/>
    <x v="5"/>
    <n v="2025"/>
    <x v="2"/>
    <s v="Chandigarh"/>
    <x v="2"/>
    <s v="Customer_6286"/>
    <x v="2"/>
    <x v="0"/>
    <n v="4"/>
    <n v="113003"/>
    <n v="73777"/>
    <n v="39226"/>
    <n v="0.34712352769395505"/>
    <x v="1"/>
  </r>
  <r>
    <s v="ORD00209"/>
    <s v="2025-07-01"/>
    <x v="0"/>
    <n v="2025"/>
    <x v="1"/>
    <s v="Mumbai"/>
    <x v="3"/>
    <s v="Customer_7800"/>
    <x v="0"/>
    <x v="0"/>
    <n v="13"/>
    <n v="52781"/>
    <n v="36216"/>
    <n v="16565"/>
    <n v="0.31384399689282128"/>
    <x v="2"/>
  </r>
  <r>
    <s v="ORD00210"/>
    <s v="2025-12-28"/>
    <x v="1"/>
    <n v="2025"/>
    <x v="1"/>
    <s v="Pune"/>
    <x v="7"/>
    <s v="Customer_7735"/>
    <x v="8"/>
    <x v="4"/>
    <n v="13"/>
    <n v="117793"/>
    <n v="74606"/>
    <n v="43187"/>
    <n v="0.36663468966746748"/>
    <x v="1"/>
  </r>
  <r>
    <s v="ORD00211"/>
    <s v="2025-09-25"/>
    <x v="6"/>
    <n v="2025"/>
    <x v="2"/>
    <s v="Delhi"/>
    <x v="1"/>
    <s v="Customer_7282"/>
    <x v="3"/>
    <x v="1"/>
    <n v="18"/>
    <n v="64969"/>
    <n v="54165"/>
    <n v="10804"/>
    <n v="0.16629469439271036"/>
    <x v="1"/>
  </r>
  <r>
    <s v="ORD00212"/>
    <s v="2025-12-14"/>
    <x v="1"/>
    <n v="2025"/>
    <x v="1"/>
    <s v="Mumbai"/>
    <x v="2"/>
    <s v="Customer_3586"/>
    <x v="8"/>
    <x v="4"/>
    <n v="12"/>
    <n v="74993"/>
    <n v="61042"/>
    <n v="13951"/>
    <n v="0.18603069619831183"/>
    <x v="0"/>
  </r>
  <r>
    <s v="ORD00213"/>
    <s v="2025-09-01"/>
    <x v="6"/>
    <n v="2025"/>
    <x v="2"/>
    <s v="Delhi"/>
    <x v="0"/>
    <s v="Customer_1306"/>
    <x v="3"/>
    <x v="1"/>
    <n v="10"/>
    <n v="12204"/>
    <n v="6625"/>
    <n v="5579"/>
    <n v="0.45714519829564076"/>
    <x v="0"/>
  </r>
  <r>
    <s v="ORD00214"/>
    <s v="2025-10-25"/>
    <x v="7"/>
    <n v="2025"/>
    <x v="3"/>
    <s v="Bangalore"/>
    <x v="4"/>
    <s v="Customer_1705"/>
    <x v="1"/>
    <x v="0"/>
    <n v="6"/>
    <n v="100912"/>
    <n v="67901"/>
    <n v="33011"/>
    <n v="0.3271266053591248"/>
    <x v="0"/>
  </r>
  <r>
    <s v="ORD00215"/>
    <s v="2025-07-30"/>
    <x v="0"/>
    <n v="2025"/>
    <x v="1"/>
    <s v="Mumbai"/>
    <x v="1"/>
    <s v="Customer_6418"/>
    <x v="6"/>
    <x v="2"/>
    <n v="16"/>
    <n v="70615"/>
    <n v="53981"/>
    <n v="16634"/>
    <n v="0.23555901720597608"/>
    <x v="1"/>
  </r>
  <r>
    <s v="ORD00216"/>
    <s v="2025-04-11"/>
    <x v="8"/>
    <n v="2025"/>
    <x v="0"/>
    <s v="Kolkata"/>
    <x v="3"/>
    <s v="Customer_7487"/>
    <x v="8"/>
    <x v="4"/>
    <n v="9"/>
    <n v="26329"/>
    <n v="22008"/>
    <n v="4321"/>
    <n v="0.16411561396179117"/>
    <x v="2"/>
  </r>
  <r>
    <s v="ORD00217"/>
    <s v="2025-07-31"/>
    <x v="0"/>
    <n v="2025"/>
    <x v="2"/>
    <s v="Chandigarh"/>
    <x v="0"/>
    <s v="Customer_3645"/>
    <x v="6"/>
    <x v="2"/>
    <n v="24"/>
    <n v="33781"/>
    <n v="18312"/>
    <n v="15469"/>
    <n v="0.45792013261892778"/>
    <x v="3"/>
  </r>
  <r>
    <s v="ORD00219"/>
    <s v="2025-05-15"/>
    <x v="4"/>
    <n v="2025"/>
    <x v="1"/>
    <s v="Pune"/>
    <x v="2"/>
    <s v="Customer_8684"/>
    <x v="2"/>
    <x v="0"/>
    <n v="6"/>
    <n v="76644"/>
    <n v="44223"/>
    <n v="32421"/>
    <n v="0.42300767183341159"/>
    <x v="2"/>
  </r>
  <r>
    <s v="ORD00221"/>
    <s v="2025-07-03"/>
    <x v="0"/>
    <n v="2025"/>
    <x v="1"/>
    <s v="Pune"/>
    <x v="1"/>
    <s v="Customer_2971"/>
    <x v="5"/>
    <x v="3"/>
    <n v="2"/>
    <n v="5836"/>
    <n v="4055"/>
    <n v="1781"/>
    <n v="0.30517477724468817"/>
    <x v="2"/>
  </r>
  <r>
    <s v="ORD00222"/>
    <s v="2025-12-28"/>
    <x v="1"/>
    <n v="2025"/>
    <x v="0"/>
    <s v="Bhubaneswar"/>
    <x v="6"/>
    <s v="Customer_7989"/>
    <x v="8"/>
    <x v="4"/>
    <n v="6"/>
    <n v="106151"/>
    <n v="70004"/>
    <n v="36147"/>
    <n v="0.34052434739192283"/>
    <x v="0"/>
  </r>
  <r>
    <s v="ORD00223"/>
    <s v="2025-12-31"/>
    <x v="1"/>
    <n v="2025"/>
    <x v="0"/>
    <s v="Kolkata"/>
    <x v="0"/>
    <s v="Customer_8450"/>
    <x v="2"/>
    <x v="0"/>
    <n v="6"/>
    <n v="99494"/>
    <n v="46408"/>
    <n v="53086"/>
    <n v="0.53355981265201924"/>
    <x v="1"/>
  </r>
  <r>
    <s v="ORD00224"/>
    <s v="2025-01-31"/>
    <x v="5"/>
    <n v="2025"/>
    <x v="2"/>
    <s v="Delhi"/>
    <x v="7"/>
    <s v="Customer_4750"/>
    <x v="5"/>
    <x v="3"/>
    <n v="10"/>
    <n v="47580"/>
    <n v="24401"/>
    <n v="23179"/>
    <n v="0.48715846994535517"/>
    <x v="2"/>
  </r>
  <r>
    <s v="ORD00225"/>
    <s v="2025-11-14"/>
    <x v="11"/>
    <n v="2025"/>
    <x v="2"/>
    <s v="Chandigarh"/>
    <x v="6"/>
    <s v="Customer_3531"/>
    <x v="3"/>
    <x v="1"/>
    <n v="3"/>
    <n v="117813"/>
    <n v="60302"/>
    <n v="57511"/>
    <n v="0.48815495743254139"/>
    <x v="2"/>
  </r>
  <r>
    <s v="ORD00226"/>
    <s v="2025-02-17"/>
    <x v="3"/>
    <n v="2025"/>
    <x v="1"/>
    <s v="Mumbai"/>
    <x v="2"/>
    <s v="Customer_7441"/>
    <x v="5"/>
    <x v="3"/>
    <n v="24"/>
    <n v="70335"/>
    <n v="32450"/>
    <n v="37885"/>
    <n v="0.53863652520082461"/>
    <x v="3"/>
  </r>
  <r>
    <s v="ORD00227"/>
    <s v="2025-05-13"/>
    <x v="4"/>
    <n v="2025"/>
    <x v="3"/>
    <s v="Chennai"/>
    <x v="1"/>
    <s v="Customer_6005"/>
    <x v="4"/>
    <x v="2"/>
    <n v="11"/>
    <n v="109024"/>
    <n v="74705"/>
    <n v="34319"/>
    <n v="0.31478390079248608"/>
    <x v="1"/>
  </r>
  <r>
    <s v="ORD00228"/>
    <s v="2025-11-29"/>
    <x v="11"/>
    <n v="2025"/>
    <x v="2"/>
    <s v="Delhi"/>
    <x v="1"/>
    <s v="Customer_2438"/>
    <x v="1"/>
    <x v="0"/>
    <n v="9"/>
    <n v="35487"/>
    <n v="17469"/>
    <n v="18018"/>
    <n v="0.50773522698452955"/>
    <x v="0"/>
  </r>
  <r>
    <s v="ORD00229"/>
    <s v="2025-03-25"/>
    <x v="2"/>
    <n v="2025"/>
    <x v="2"/>
    <s v="Delhi"/>
    <x v="7"/>
    <s v="Customer_5836"/>
    <x v="1"/>
    <x v="0"/>
    <n v="25"/>
    <n v="15207"/>
    <n v="7043"/>
    <n v="8164"/>
    <n v="0.5368580259091208"/>
    <x v="2"/>
  </r>
  <r>
    <s v="ORD00230"/>
    <s v="2025-07-04"/>
    <x v="0"/>
    <n v="2025"/>
    <x v="1"/>
    <s v="Mumbai"/>
    <x v="4"/>
    <s v="Customer_7221"/>
    <x v="8"/>
    <x v="4"/>
    <n v="8"/>
    <n v="90704"/>
    <n v="57795"/>
    <n v="32909"/>
    <n v="0.36281751631681075"/>
    <x v="2"/>
  </r>
  <r>
    <s v="ORD00231"/>
    <s v="2025-07-14"/>
    <x v="0"/>
    <n v="2025"/>
    <x v="1"/>
    <s v="Pune"/>
    <x v="3"/>
    <s v="Customer_9537"/>
    <x v="5"/>
    <x v="3"/>
    <n v="20"/>
    <n v="17864"/>
    <n v="14878"/>
    <n v="2986"/>
    <n v="0.16715181370353785"/>
    <x v="1"/>
  </r>
  <r>
    <s v="ORD00232"/>
    <s v="2025-02-06"/>
    <x v="3"/>
    <n v="2025"/>
    <x v="1"/>
    <s v="Mumbai"/>
    <x v="0"/>
    <s v="Customer_1932"/>
    <x v="3"/>
    <x v="1"/>
    <n v="3"/>
    <n v="20151"/>
    <n v="9627"/>
    <n v="10524"/>
    <n v="0.52225695995235966"/>
    <x v="0"/>
  </r>
  <r>
    <s v="ORD00233"/>
    <s v="2025-10-02"/>
    <x v="7"/>
    <n v="2025"/>
    <x v="0"/>
    <s v="Kolkata"/>
    <x v="4"/>
    <s v="Customer_3968"/>
    <x v="4"/>
    <x v="2"/>
    <n v="23"/>
    <n v="4331"/>
    <n v="3346"/>
    <n v="985"/>
    <n v="0.22743015469868391"/>
    <x v="1"/>
  </r>
  <r>
    <s v="ORD00234"/>
    <s v="2025-01-10"/>
    <x v="5"/>
    <n v="2025"/>
    <x v="1"/>
    <s v="Pune"/>
    <x v="0"/>
    <s v="Customer_8223"/>
    <x v="8"/>
    <x v="4"/>
    <n v="16"/>
    <n v="77786"/>
    <n v="58511"/>
    <n v="19275"/>
    <n v="0.24779523307536061"/>
    <x v="2"/>
  </r>
  <r>
    <s v="ORD00235"/>
    <s v="2025-09-25"/>
    <x v="6"/>
    <n v="2025"/>
    <x v="0"/>
    <s v="Kolkata"/>
    <x v="7"/>
    <s v="Customer_4776"/>
    <x v="7"/>
    <x v="0"/>
    <n v="18"/>
    <n v="22012"/>
    <n v="17252"/>
    <n v="4760"/>
    <n v="0.21624568417226966"/>
    <x v="2"/>
  </r>
  <r>
    <s v="ORD00236"/>
    <s v="2025-03-09"/>
    <x v="2"/>
    <n v="2025"/>
    <x v="1"/>
    <s v="Mumbai"/>
    <x v="2"/>
    <s v="Customer_7281"/>
    <x v="5"/>
    <x v="3"/>
    <n v="19"/>
    <n v="90706"/>
    <n v="47893"/>
    <n v="42813"/>
    <n v="0.47199744228606705"/>
    <x v="3"/>
  </r>
  <r>
    <s v="ORD00237"/>
    <s v="2025-09-24"/>
    <x v="6"/>
    <n v="2025"/>
    <x v="0"/>
    <s v="Kolkata"/>
    <x v="4"/>
    <s v="Customer_9192"/>
    <x v="4"/>
    <x v="2"/>
    <n v="12"/>
    <n v="50618"/>
    <n v="34089"/>
    <n v="16529"/>
    <n v="0.32654391718361059"/>
    <x v="1"/>
  </r>
  <r>
    <s v="ORD00238"/>
    <s v="2025-12-27"/>
    <x v="1"/>
    <n v="2025"/>
    <x v="2"/>
    <s v="Delhi"/>
    <x v="7"/>
    <s v="Customer_1798"/>
    <x v="0"/>
    <x v="0"/>
    <n v="23"/>
    <n v="107844"/>
    <n v="64310"/>
    <n v="43534"/>
    <n v="0.40367567968547163"/>
    <x v="2"/>
  </r>
  <r>
    <s v="ORD00239"/>
    <s v="2025-09-19"/>
    <x v="6"/>
    <n v="2025"/>
    <x v="3"/>
    <s v="Chennai"/>
    <x v="1"/>
    <s v="Customer_2963"/>
    <x v="8"/>
    <x v="4"/>
    <n v="13"/>
    <n v="78701"/>
    <n v="54529"/>
    <n v="24172"/>
    <n v="0.30713713929937358"/>
    <x v="0"/>
  </r>
  <r>
    <s v="ORD00240"/>
    <s v="2025-01-15"/>
    <x v="5"/>
    <n v="2025"/>
    <x v="3"/>
    <s v="Chennai"/>
    <x v="4"/>
    <s v="Customer_6619"/>
    <x v="8"/>
    <x v="4"/>
    <n v="10"/>
    <n v="14748"/>
    <n v="10441"/>
    <n v="4307"/>
    <n v="0.29203959858963929"/>
    <x v="0"/>
  </r>
  <r>
    <s v="ORD00241"/>
    <s v="2025-03-19"/>
    <x v="2"/>
    <n v="2025"/>
    <x v="1"/>
    <s v="Mumbai"/>
    <x v="1"/>
    <s v="Customer_2038"/>
    <x v="6"/>
    <x v="2"/>
    <n v="24"/>
    <n v="15136"/>
    <n v="8480"/>
    <n v="6656"/>
    <n v="0.43974630021141647"/>
    <x v="0"/>
  </r>
  <r>
    <s v="ORD00242"/>
    <s v="2025-11-27"/>
    <x v="11"/>
    <n v="2025"/>
    <x v="3"/>
    <s v="Bangalore"/>
    <x v="5"/>
    <s v="Customer_9472"/>
    <x v="1"/>
    <x v="0"/>
    <n v="18"/>
    <n v="3148"/>
    <n v="1935"/>
    <n v="1213"/>
    <n v="0.38532401524777637"/>
    <x v="0"/>
  </r>
  <r>
    <s v="ORD00243"/>
    <s v="2025-06-13"/>
    <x v="9"/>
    <n v="2025"/>
    <x v="0"/>
    <s v="Kolkata"/>
    <x v="0"/>
    <s v="Customer_8510"/>
    <x v="0"/>
    <x v="0"/>
    <n v="17"/>
    <n v="66610"/>
    <n v="49117"/>
    <n v="17493"/>
    <n v="0.26261822549166791"/>
    <x v="2"/>
  </r>
  <r>
    <s v="ORD00244"/>
    <s v="2025-08-23"/>
    <x v="10"/>
    <n v="2025"/>
    <x v="3"/>
    <s v="Bangalore"/>
    <x v="6"/>
    <s v="Customer_4063"/>
    <x v="0"/>
    <x v="0"/>
    <n v="24"/>
    <n v="81212"/>
    <n v="55472"/>
    <n v="25740"/>
    <n v="0.31694823425109592"/>
    <x v="0"/>
  </r>
  <r>
    <s v="ORD00245"/>
    <s v="2025-08-18"/>
    <x v="10"/>
    <n v="2025"/>
    <x v="1"/>
    <s v="Mumbai"/>
    <x v="3"/>
    <s v="Customer_8429"/>
    <x v="2"/>
    <x v="0"/>
    <n v="21"/>
    <n v="102629"/>
    <n v="51926"/>
    <n v="50703"/>
    <n v="0.49404164514903193"/>
    <x v="3"/>
  </r>
  <r>
    <s v="ORD00246"/>
    <s v="2025-08-24"/>
    <x v="10"/>
    <n v="2025"/>
    <x v="0"/>
    <s v="Kolkata"/>
    <x v="5"/>
    <s v="Customer_7963"/>
    <x v="8"/>
    <x v="4"/>
    <n v="3"/>
    <n v="81214"/>
    <n v="57329"/>
    <n v="23885"/>
    <n v="0.29409953948826556"/>
    <x v="3"/>
  </r>
  <r>
    <s v="ORD00247"/>
    <s v="2025-08-25"/>
    <x v="10"/>
    <n v="2025"/>
    <x v="0"/>
    <s v="Kolkata"/>
    <x v="3"/>
    <s v="Customer_5095"/>
    <x v="4"/>
    <x v="2"/>
    <n v="17"/>
    <n v="87218"/>
    <n v="66235"/>
    <n v="20983"/>
    <n v="0.24058107271434795"/>
    <x v="0"/>
  </r>
  <r>
    <s v="ORD00248"/>
    <s v="2025-07-15"/>
    <x v="0"/>
    <n v="2025"/>
    <x v="0"/>
    <s v="Bhubaneswar"/>
    <x v="6"/>
    <s v="Customer_3891"/>
    <x v="7"/>
    <x v="0"/>
    <n v="13"/>
    <n v="23340"/>
    <n v="16895"/>
    <n v="6445"/>
    <n v="0.27613538988860326"/>
    <x v="1"/>
  </r>
  <r>
    <s v="ORD00249"/>
    <s v="2025-12-31"/>
    <x v="1"/>
    <n v="2025"/>
    <x v="3"/>
    <s v="Chennai"/>
    <x v="4"/>
    <s v="Customer_4587"/>
    <x v="0"/>
    <x v="0"/>
    <n v="3"/>
    <n v="56335"/>
    <n v="45484"/>
    <n v="10851"/>
    <n v="0.19261560308866602"/>
    <x v="1"/>
  </r>
  <r>
    <s v="ORD00250"/>
    <s v="2025-08-21"/>
    <x v="10"/>
    <n v="2025"/>
    <x v="2"/>
    <s v="Delhi"/>
    <x v="2"/>
    <s v="Customer_7535"/>
    <x v="0"/>
    <x v="0"/>
    <n v="14"/>
    <n v="69755"/>
    <n v="44495"/>
    <n v="25260"/>
    <n v="0.36212457888323418"/>
    <x v="2"/>
  </r>
  <r>
    <s v="ORD00251"/>
    <s v="2025-05-21"/>
    <x v="4"/>
    <n v="2025"/>
    <x v="1"/>
    <s v="Pune"/>
    <x v="7"/>
    <s v="Customer_5144"/>
    <x v="7"/>
    <x v="0"/>
    <n v="24"/>
    <n v="101384"/>
    <n v="83116"/>
    <n v="18268"/>
    <n v="0.18018622267813461"/>
    <x v="1"/>
  </r>
  <r>
    <s v="ORD00252"/>
    <s v="2025-09-03"/>
    <x v="6"/>
    <n v="2025"/>
    <x v="2"/>
    <s v="Chandigarh"/>
    <x v="5"/>
    <s v="Customer_1053"/>
    <x v="5"/>
    <x v="3"/>
    <n v="10"/>
    <n v="20876"/>
    <n v="10850"/>
    <n v="10026"/>
    <n v="0.48026441847097145"/>
    <x v="0"/>
  </r>
  <r>
    <s v="ORD00253"/>
    <s v="2025-04-10"/>
    <x v="8"/>
    <n v="2025"/>
    <x v="3"/>
    <s v="Chennai"/>
    <x v="3"/>
    <s v="Customer_1427"/>
    <x v="0"/>
    <x v="0"/>
    <n v="22"/>
    <n v="114553"/>
    <n v="96997"/>
    <n v="17556"/>
    <n v="0.15325657119411976"/>
    <x v="3"/>
  </r>
  <r>
    <s v="ORD00254"/>
    <s v="2025-01-18"/>
    <x v="5"/>
    <n v="2025"/>
    <x v="3"/>
    <s v="Bangalore"/>
    <x v="5"/>
    <s v="Customer_6535"/>
    <x v="3"/>
    <x v="1"/>
    <n v="7"/>
    <n v="109306"/>
    <n v="90165"/>
    <n v="19141"/>
    <n v="0.1751139004263261"/>
    <x v="3"/>
  </r>
  <r>
    <s v="ORD00255"/>
    <s v="2025-03-21"/>
    <x v="2"/>
    <n v="2025"/>
    <x v="2"/>
    <s v="Chandigarh"/>
    <x v="0"/>
    <s v="Customer_9299"/>
    <x v="4"/>
    <x v="2"/>
    <n v="23"/>
    <n v="38483"/>
    <n v="27995"/>
    <n v="10488"/>
    <n v="0.27253592495387574"/>
    <x v="3"/>
  </r>
  <r>
    <s v="ORD00256"/>
    <s v="2025-12-25"/>
    <x v="1"/>
    <n v="2025"/>
    <x v="3"/>
    <s v="Chennai"/>
    <x v="0"/>
    <s v="Customer_3714"/>
    <x v="2"/>
    <x v="0"/>
    <n v="14"/>
    <n v="99472"/>
    <n v="78284"/>
    <n v="21188"/>
    <n v="0.21300466462924239"/>
    <x v="2"/>
  </r>
  <r>
    <s v="ORD00257"/>
    <s v="2025-09-17"/>
    <x v="6"/>
    <n v="2025"/>
    <x v="0"/>
    <s v="Bhubaneswar"/>
    <x v="0"/>
    <s v="Customer_7177"/>
    <x v="0"/>
    <x v="0"/>
    <n v="16"/>
    <n v="13524"/>
    <n v="11369"/>
    <n v="2155"/>
    <n v="0.15934634723454599"/>
    <x v="0"/>
  </r>
  <r>
    <s v="ORD00258"/>
    <s v="2025-12-14"/>
    <x v="1"/>
    <n v="2025"/>
    <x v="3"/>
    <s v="Bangalore"/>
    <x v="3"/>
    <s v="Customer_6002"/>
    <x v="6"/>
    <x v="2"/>
    <n v="23"/>
    <n v="37065"/>
    <n v="18952"/>
    <n v="18113"/>
    <n v="0.48868204505598273"/>
    <x v="1"/>
  </r>
  <r>
    <s v="ORD00259"/>
    <s v="2025-09-04"/>
    <x v="6"/>
    <n v="2025"/>
    <x v="1"/>
    <s v="Pune"/>
    <x v="6"/>
    <s v="Customer_6742"/>
    <x v="1"/>
    <x v="0"/>
    <n v="1"/>
    <n v="116928"/>
    <n v="97186"/>
    <n v="19742"/>
    <n v="0.16883894362342639"/>
    <x v="3"/>
  </r>
  <r>
    <s v="ORD00260"/>
    <s v="2025-08-06"/>
    <x v="10"/>
    <n v="2025"/>
    <x v="2"/>
    <s v="Delhi"/>
    <x v="4"/>
    <s v="Customer_2318"/>
    <x v="2"/>
    <x v="0"/>
    <n v="9"/>
    <n v="33197"/>
    <n v="26634"/>
    <n v="6563"/>
    <n v="0.19769858722173692"/>
    <x v="2"/>
  </r>
  <r>
    <s v="ORD00261"/>
    <s v="2025-02-12"/>
    <x v="3"/>
    <n v="2025"/>
    <x v="3"/>
    <s v="Chennai"/>
    <x v="0"/>
    <s v="Customer_5221"/>
    <x v="8"/>
    <x v="4"/>
    <n v="16"/>
    <n v="113509"/>
    <n v="79470"/>
    <n v="34039"/>
    <n v="0.29987930472473551"/>
    <x v="0"/>
  </r>
  <r>
    <s v="ORD00262"/>
    <s v="2025-02-22"/>
    <x v="3"/>
    <n v="2025"/>
    <x v="2"/>
    <s v="Chandigarh"/>
    <x v="6"/>
    <s v="Customer_1169"/>
    <x v="4"/>
    <x v="2"/>
    <n v="21"/>
    <n v="28832"/>
    <n v="19836"/>
    <n v="8996"/>
    <n v="0.31201442841287458"/>
    <x v="3"/>
  </r>
  <r>
    <s v="ORD00263"/>
    <s v="2025-06-11"/>
    <x v="9"/>
    <n v="2025"/>
    <x v="3"/>
    <s v="Chennai"/>
    <x v="1"/>
    <s v="Customer_7767"/>
    <x v="4"/>
    <x v="2"/>
    <n v="10"/>
    <n v="91791"/>
    <n v="47188"/>
    <n v="44603"/>
    <n v="0.48591909882232465"/>
    <x v="1"/>
  </r>
  <r>
    <s v="ORD00264"/>
    <s v="2025-08-25"/>
    <x v="10"/>
    <n v="2025"/>
    <x v="1"/>
    <s v="Mumbai"/>
    <x v="5"/>
    <s v="Customer_1609"/>
    <x v="2"/>
    <x v="0"/>
    <n v="20"/>
    <n v="22514"/>
    <n v="15407"/>
    <n v="7107"/>
    <n v="0.31567024962245716"/>
    <x v="1"/>
  </r>
  <r>
    <s v="ORD00265"/>
    <s v="2025-07-30"/>
    <x v="0"/>
    <n v="2025"/>
    <x v="2"/>
    <s v="Chandigarh"/>
    <x v="3"/>
    <s v="Customer_4818"/>
    <x v="3"/>
    <x v="1"/>
    <n v="22"/>
    <n v="88636"/>
    <n v="65045"/>
    <n v="23591"/>
    <n v="0.26615596371677425"/>
    <x v="0"/>
  </r>
  <r>
    <s v="ORD00266"/>
    <s v="2025-11-20"/>
    <x v="11"/>
    <n v="2025"/>
    <x v="0"/>
    <s v="Bhubaneswar"/>
    <x v="5"/>
    <s v="Customer_9794"/>
    <x v="6"/>
    <x v="2"/>
    <n v="17"/>
    <n v="66765"/>
    <n v="43410"/>
    <n v="23355"/>
    <n v="0.34980903167827454"/>
    <x v="0"/>
  </r>
  <r>
    <s v="ORD00268"/>
    <s v="2025-02-12"/>
    <x v="3"/>
    <n v="2025"/>
    <x v="3"/>
    <s v="Chennai"/>
    <x v="2"/>
    <s v="Customer_6415"/>
    <x v="4"/>
    <x v="2"/>
    <n v="24"/>
    <n v="26394"/>
    <n v="19701"/>
    <n v="6693"/>
    <n v="0.25358035917253924"/>
    <x v="0"/>
  </r>
  <r>
    <s v="ORD00269"/>
    <s v="2025-05-23"/>
    <x v="4"/>
    <n v="2025"/>
    <x v="2"/>
    <s v="Chandigarh"/>
    <x v="4"/>
    <s v="Customer_8841"/>
    <x v="3"/>
    <x v="1"/>
    <n v="20"/>
    <n v="77937"/>
    <n v="64320"/>
    <n v="13617"/>
    <n v="0.17471804149505371"/>
    <x v="2"/>
  </r>
  <r>
    <s v="ORD00270"/>
    <s v="2025-11-24"/>
    <x v="11"/>
    <n v="2025"/>
    <x v="1"/>
    <s v="Mumbai"/>
    <x v="2"/>
    <s v="Customer_9666"/>
    <x v="5"/>
    <x v="3"/>
    <n v="8"/>
    <n v="61623"/>
    <n v="40228"/>
    <n v="21395"/>
    <n v="0.34719179527124611"/>
    <x v="0"/>
  </r>
  <r>
    <s v="ORD00271"/>
    <s v="2025-08-18"/>
    <x v="10"/>
    <n v="2025"/>
    <x v="1"/>
    <s v="Pune"/>
    <x v="7"/>
    <s v="Customer_6651"/>
    <x v="3"/>
    <x v="1"/>
    <n v="7"/>
    <n v="36374"/>
    <n v="20857"/>
    <n v="15517"/>
    <n v="0.42659592016275361"/>
    <x v="0"/>
  </r>
  <r>
    <s v="ORD00272"/>
    <s v="2025-03-22"/>
    <x v="2"/>
    <n v="2025"/>
    <x v="3"/>
    <s v="Chennai"/>
    <x v="1"/>
    <s v="Customer_6993"/>
    <x v="4"/>
    <x v="2"/>
    <n v="3"/>
    <n v="17413"/>
    <n v="12690"/>
    <n v="4723"/>
    <n v="0.27123413541606844"/>
    <x v="3"/>
  </r>
  <r>
    <s v="ORD00273"/>
    <s v="2025-02-25"/>
    <x v="3"/>
    <n v="2025"/>
    <x v="1"/>
    <s v="Mumbai"/>
    <x v="7"/>
    <s v="Customer_5119"/>
    <x v="4"/>
    <x v="2"/>
    <n v="1"/>
    <n v="74809"/>
    <n v="51237"/>
    <n v="23572"/>
    <n v="0.31509577724605325"/>
    <x v="1"/>
  </r>
  <r>
    <s v="ORD00274"/>
    <s v="2025-09-30"/>
    <x v="6"/>
    <n v="2025"/>
    <x v="1"/>
    <s v="Pune"/>
    <x v="3"/>
    <s v="Customer_7191"/>
    <x v="1"/>
    <x v="0"/>
    <n v="10"/>
    <n v="66994"/>
    <n v="39477"/>
    <n v="27517"/>
    <n v="0.41073827506940919"/>
    <x v="3"/>
  </r>
  <r>
    <s v="ORD00275"/>
    <s v="2025-06-30"/>
    <x v="9"/>
    <n v="2025"/>
    <x v="1"/>
    <s v="Mumbai"/>
    <x v="4"/>
    <s v="Customer_9293"/>
    <x v="8"/>
    <x v="4"/>
    <n v="14"/>
    <n v="7084"/>
    <n v="3381"/>
    <n v="3703"/>
    <n v="0.52272727272727271"/>
    <x v="1"/>
  </r>
  <r>
    <s v="ORD00276"/>
    <s v="2025-10-01"/>
    <x v="7"/>
    <n v="2025"/>
    <x v="3"/>
    <s v="Chennai"/>
    <x v="0"/>
    <s v="Customer_4278"/>
    <x v="4"/>
    <x v="2"/>
    <n v="5"/>
    <n v="104601"/>
    <n v="77021"/>
    <n v="27580"/>
    <n v="0.2636686073746905"/>
    <x v="3"/>
  </r>
  <r>
    <s v="ORD00277"/>
    <s v="2025-03-28"/>
    <x v="2"/>
    <n v="2025"/>
    <x v="1"/>
    <s v="Pune"/>
    <x v="5"/>
    <s v="Customer_3147"/>
    <x v="7"/>
    <x v="0"/>
    <n v="8"/>
    <n v="91796"/>
    <n v="72163"/>
    <n v="19633"/>
    <n v="0.21387642163057213"/>
    <x v="0"/>
  </r>
  <r>
    <s v="ORD00278"/>
    <s v="2025-07-05"/>
    <x v="0"/>
    <n v="2025"/>
    <x v="0"/>
    <s v="Kolkata"/>
    <x v="2"/>
    <s v="Customer_8165"/>
    <x v="0"/>
    <x v="0"/>
    <n v="22"/>
    <n v="70972"/>
    <n v="39617"/>
    <n v="31355"/>
    <n v="0.44179394690864005"/>
    <x v="2"/>
  </r>
  <r>
    <s v="ORD00279"/>
    <s v="2025-01-22"/>
    <x v="5"/>
    <n v="2025"/>
    <x v="2"/>
    <s v="Chandigarh"/>
    <x v="7"/>
    <s v="Customer_8962"/>
    <x v="0"/>
    <x v="0"/>
    <n v="17"/>
    <n v="57065"/>
    <n v="46165"/>
    <n v="10900"/>
    <n v="0.19101025146762463"/>
    <x v="2"/>
  </r>
  <r>
    <s v="ORD00280"/>
    <s v="2025-06-26"/>
    <x v="9"/>
    <n v="2025"/>
    <x v="3"/>
    <s v="Bangalore"/>
    <x v="0"/>
    <s v="Customer_7911"/>
    <x v="6"/>
    <x v="2"/>
    <n v="20"/>
    <n v="45395"/>
    <n v="33379"/>
    <n v="12016"/>
    <n v="0.26469875536953408"/>
    <x v="3"/>
  </r>
  <r>
    <s v="ORD00281"/>
    <s v="2025-05-13"/>
    <x v="4"/>
    <n v="2025"/>
    <x v="1"/>
    <s v="Mumbai"/>
    <x v="6"/>
    <s v="Customer_6224"/>
    <x v="3"/>
    <x v="1"/>
    <n v="15"/>
    <n v="17265"/>
    <n v="9053"/>
    <n v="8212"/>
    <n v="0.47564436721691283"/>
    <x v="0"/>
  </r>
  <r>
    <s v="ORD00282"/>
    <s v="2025-07-14"/>
    <x v="0"/>
    <n v="2025"/>
    <x v="0"/>
    <s v="Kolkata"/>
    <x v="5"/>
    <s v="Customer_9617"/>
    <x v="6"/>
    <x v="2"/>
    <n v="23"/>
    <n v="87019"/>
    <n v="62967"/>
    <n v="24052"/>
    <n v="0.27639940702605176"/>
    <x v="1"/>
  </r>
  <r>
    <s v="ORD00283"/>
    <s v="2025-11-28"/>
    <x v="11"/>
    <n v="2025"/>
    <x v="0"/>
    <s v="Bhubaneswar"/>
    <x v="2"/>
    <s v="Customer_1642"/>
    <x v="6"/>
    <x v="2"/>
    <n v="22"/>
    <n v="32681"/>
    <n v="23182"/>
    <n v="9499"/>
    <n v="0.29065818059422904"/>
    <x v="0"/>
  </r>
  <r>
    <s v="ORD00285"/>
    <s v="2025-08-29"/>
    <x v="10"/>
    <n v="2025"/>
    <x v="2"/>
    <s v="Delhi"/>
    <x v="0"/>
    <s v="Customer_7601"/>
    <x v="1"/>
    <x v="0"/>
    <n v="18"/>
    <n v="79735"/>
    <n v="64127"/>
    <n v="15608"/>
    <n v="0.19574841663008716"/>
    <x v="2"/>
  </r>
  <r>
    <s v="ORD00286"/>
    <s v="2025-05-31"/>
    <x v="4"/>
    <n v="2025"/>
    <x v="3"/>
    <s v="Chennai"/>
    <x v="5"/>
    <s v="Customer_4503"/>
    <x v="7"/>
    <x v="0"/>
    <n v="25"/>
    <n v="81866"/>
    <n v="47801"/>
    <n v="34065"/>
    <n v="0.41610680868736716"/>
    <x v="1"/>
  </r>
  <r>
    <s v="ORD00287"/>
    <s v="2025-04-11"/>
    <x v="8"/>
    <n v="2025"/>
    <x v="3"/>
    <s v="Chennai"/>
    <x v="0"/>
    <s v="Customer_4205"/>
    <x v="4"/>
    <x v="2"/>
    <n v="15"/>
    <n v="57209"/>
    <n v="34547"/>
    <n v="22662"/>
    <n v="0.3961264835952385"/>
    <x v="1"/>
  </r>
  <r>
    <s v="ORD00288"/>
    <s v="2025-04-11"/>
    <x v="8"/>
    <n v="2025"/>
    <x v="0"/>
    <s v="Bhubaneswar"/>
    <x v="1"/>
    <s v="Customer_3040"/>
    <x v="3"/>
    <x v="1"/>
    <n v="25"/>
    <n v="31191"/>
    <n v="15886"/>
    <n v="15305"/>
    <n v="0.49068641595331985"/>
    <x v="3"/>
  </r>
  <r>
    <s v="ORD00289"/>
    <s v="2025-08-18"/>
    <x v="10"/>
    <n v="2025"/>
    <x v="0"/>
    <s v="Kolkata"/>
    <x v="2"/>
    <s v="Customer_8578"/>
    <x v="6"/>
    <x v="2"/>
    <n v="6"/>
    <n v="47753"/>
    <n v="33045"/>
    <n v="14708"/>
    <n v="0.30800159152304568"/>
    <x v="0"/>
  </r>
  <r>
    <s v="ORD00290"/>
    <s v="2025-10-12"/>
    <x v="7"/>
    <n v="2025"/>
    <x v="3"/>
    <s v="Chennai"/>
    <x v="3"/>
    <s v="Customer_4679"/>
    <x v="0"/>
    <x v="0"/>
    <n v="4"/>
    <n v="92321"/>
    <n v="42623"/>
    <n v="49698"/>
    <n v="0.53831739257590361"/>
    <x v="1"/>
  </r>
  <r>
    <s v="ORD00291"/>
    <s v="2025-04-14"/>
    <x v="8"/>
    <n v="2025"/>
    <x v="2"/>
    <s v="Delhi"/>
    <x v="6"/>
    <s v="Customer_6382"/>
    <x v="3"/>
    <x v="1"/>
    <n v="5"/>
    <n v="4476"/>
    <n v="3232"/>
    <n v="1244"/>
    <n v="0.2779267202859696"/>
    <x v="2"/>
  </r>
  <r>
    <s v="ORD00292"/>
    <s v="2025-12-26"/>
    <x v="1"/>
    <n v="2025"/>
    <x v="1"/>
    <s v="Pune"/>
    <x v="4"/>
    <s v="Customer_1423"/>
    <x v="8"/>
    <x v="4"/>
    <n v="25"/>
    <n v="86145"/>
    <n v="70558"/>
    <n v="15587"/>
    <n v="0.18093911428405596"/>
    <x v="0"/>
  </r>
  <r>
    <s v="ORD00293"/>
    <s v="2025-08-21"/>
    <x v="10"/>
    <n v="2025"/>
    <x v="2"/>
    <s v="Chandigarh"/>
    <x v="0"/>
    <s v="Customer_5790"/>
    <x v="6"/>
    <x v="2"/>
    <n v="3"/>
    <n v="85212"/>
    <n v="55243"/>
    <n v="29969"/>
    <n v="0.35169929117964605"/>
    <x v="3"/>
  </r>
  <r>
    <s v="ORD00294"/>
    <s v="2025-11-06"/>
    <x v="11"/>
    <n v="2025"/>
    <x v="0"/>
    <s v="Kolkata"/>
    <x v="7"/>
    <s v="Customer_8933"/>
    <x v="1"/>
    <x v="0"/>
    <n v="11"/>
    <n v="78468"/>
    <n v="41966"/>
    <n v="36502"/>
    <n v="0.46518325941785188"/>
    <x v="1"/>
  </r>
  <r>
    <s v="ORD00295"/>
    <s v="2025-06-04"/>
    <x v="9"/>
    <n v="2025"/>
    <x v="0"/>
    <s v="Bhubaneswar"/>
    <x v="4"/>
    <s v="Customer_1742"/>
    <x v="8"/>
    <x v="4"/>
    <n v="14"/>
    <n v="70680"/>
    <n v="58433"/>
    <n v="12247"/>
    <n v="0.17327391058290889"/>
    <x v="2"/>
  </r>
  <r>
    <s v="ORD00296"/>
    <s v="2025-03-01"/>
    <x v="2"/>
    <n v="2025"/>
    <x v="3"/>
    <s v="Chennai"/>
    <x v="1"/>
    <s v="Customer_8783"/>
    <x v="1"/>
    <x v="0"/>
    <n v="11"/>
    <n v="44724"/>
    <n v="21052"/>
    <n v="23672"/>
    <n v="0.52929076111260176"/>
    <x v="1"/>
  </r>
  <r>
    <s v="ORD00297"/>
    <s v="2025-09-01"/>
    <x v="6"/>
    <n v="2025"/>
    <x v="0"/>
    <s v="Kolkata"/>
    <x v="1"/>
    <s v="Customer_7954"/>
    <x v="0"/>
    <x v="0"/>
    <n v="19"/>
    <n v="93018"/>
    <n v="62695"/>
    <n v="30323"/>
    <n v="0.3259906684727687"/>
    <x v="0"/>
  </r>
  <r>
    <s v="ORD00298"/>
    <s v="2025-07-25"/>
    <x v="0"/>
    <n v="2025"/>
    <x v="3"/>
    <s v="Chennai"/>
    <x v="1"/>
    <s v="Customer_4113"/>
    <x v="2"/>
    <x v="0"/>
    <n v="7"/>
    <n v="19558"/>
    <n v="10012"/>
    <n v="9546"/>
    <n v="0.48808671643317314"/>
    <x v="1"/>
  </r>
  <r>
    <s v="ORD00299"/>
    <s v="2025-04-02"/>
    <x v="8"/>
    <n v="2025"/>
    <x v="1"/>
    <s v="Mumbai"/>
    <x v="4"/>
    <s v="Customer_4519"/>
    <x v="6"/>
    <x v="2"/>
    <n v="23"/>
    <n v="74796"/>
    <n v="50940"/>
    <n v="23856"/>
    <n v="0.31894753730145997"/>
    <x v="0"/>
  </r>
  <r>
    <s v="ORD00300"/>
    <s v="2025-07-30"/>
    <x v="0"/>
    <n v="2025"/>
    <x v="1"/>
    <s v="Mumbai"/>
    <x v="0"/>
    <s v="Customer_1252"/>
    <x v="8"/>
    <x v="4"/>
    <n v="24"/>
    <n v="96553"/>
    <n v="73960"/>
    <n v="22593"/>
    <n v="0.23399583648358932"/>
    <x v="3"/>
  </r>
  <r>
    <s v="ORD00302"/>
    <s v="2025-04-16"/>
    <x v="8"/>
    <n v="2025"/>
    <x v="2"/>
    <s v="Chandigarh"/>
    <x v="6"/>
    <s v="Customer_5722"/>
    <x v="0"/>
    <x v="0"/>
    <n v="15"/>
    <n v="63869"/>
    <n v="32387"/>
    <n v="31482"/>
    <n v="0.49291518577087479"/>
    <x v="1"/>
  </r>
  <r>
    <s v="ORD00303"/>
    <s v="2025-10-27"/>
    <x v="7"/>
    <n v="2025"/>
    <x v="2"/>
    <s v="Delhi"/>
    <x v="3"/>
    <s v="Customer_1770"/>
    <x v="8"/>
    <x v="4"/>
    <n v="17"/>
    <n v="51656"/>
    <n v="43905"/>
    <n v="7751"/>
    <n v="0.1500503329719684"/>
    <x v="1"/>
  </r>
  <r>
    <s v="ORD00304"/>
    <s v="2025-07-10"/>
    <x v="0"/>
    <n v="2025"/>
    <x v="2"/>
    <s v="Delhi"/>
    <x v="1"/>
    <s v="Customer_5875"/>
    <x v="3"/>
    <x v="1"/>
    <n v="22"/>
    <n v="48013"/>
    <n v="24543"/>
    <n v="23470"/>
    <n v="0.48882594297377796"/>
    <x v="1"/>
  </r>
  <r>
    <s v="ORD00305"/>
    <s v="2025-01-13"/>
    <x v="5"/>
    <n v="2025"/>
    <x v="3"/>
    <s v="Bangalore"/>
    <x v="3"/>
    <s v="Customer_9733"/>
    <x v="8"/>
    <x v="4"/>
    <n v="8"/>
    <n v="30784"/>
    <n v="21967"/>
    <n v="8817"/>
    <n v="0.28641502079002079"/>
    <x v="0"/>
  </r>
  <r>
    <s v="ORD00306"/>
    <s v="2025-08-02"/>
    <x v="10"/>
    <n v="2025"/>
    <x v="3"/>
    <s v="Bangalore"/>
    <x v="4"/>
    <s v="Customer_8359"/>
    <x v="1"/>
    <x v="0"/>
    <n v="12"/>
    <n v="61075"/>
    <n v="41867"/>
    <n v="19208"/>
    <n v="0.31449856733524356"/>
    <x v="3"/>
  </r>
  <r>
    <s v="ORD00307"/>
    <s v="2025-06-04"/>
    <x v="9"/>
    <n v="2025"/>
    <x v="1"/>
    <s v="Pune"/>
    <x v="5"/>
    <s v="Customer_7050"/>
    <x v="0"/>
    <x v="0"/>
    <n v="25"/>
    <n v="4854"/>
    <n v="3109"/>
    <n v="1745"/>
    <n v="0.35949732179645655"/>
    <x v="1"/>
  </r>
  <r>
    <s v="ORD00308"/>
    <s v="2025-06-29"/>
    <x v="9"/>
    <n v="2025"/>
    <x v="1"/>
    <s v="Mumbai"/>
    <x v="5"/>
    <s v="Customer_2914"/>
    <x v="0"/>
    <x v="0"/>
    <n v="15"/>
    <n v="95531"/>
    <n v="65186"/>
    <n v="30345"/>
    <n v="0.31764558101558654"/>
    <x v="0"/>
  </r>
  <r>
    <s v="ORD00309"/>
    <s v="2025-09-10"/>
    <x v="6"/>
    <n v="2025"/>
    <x v="2"/>
    <s v="Delhi"/>
    <x v="2"/>
    <s v="Customer_9918"/>
    <x v="3"/>
    <x v="1"/>
    <n v="15"/>
    <n v="115331"/>
    <n v="63059"/>
    <n v="52272"/>
    <n v="0.45323460301219964"/>
    <x v="1"/>
  </r>
  <r>
    <s v="ORD00311"/>
    <s v="2025-03-03"/>
    <x v="2"/>
    <n v="2025"/>
    <x v="3"/>
    <s v="Bangalore"/>
    <x v="1"/>
    <s v="Customer_5264"/>
    <x v="8"/>
    <x v="4"/>
    <n v="18"/>
    <n v="43487"/>
    <n v="35624"/>
    <n v="7863"/>
    <n v="0.18081265665601215"/>
    <x v="1"/>
  </r>
  <r>
    <s v="ORD00312"/>
    <s v="2025-09-21"/>
    <x v="6"/>
    <n v="2025"/>
    <x v="0"/>
    <s v="Kolkata"/>
    <x v="1"/>
    <s v="Customer_5536"/>
    <x v="0"/>
    <x v="0"/>
    <n v="25"/>
    <n v="41573"/>
    <n v="29392"/>
    <n v="12181"/>
    <n v="0.29300267000216484"/>
    <x v="2"/>
  </r>
  <r>
    <s v="ORD00313"/>
    <s v="2025-10-11"/>
    <x v="7"/>
    <n v="2025"/>
    <x v="1"/>
    <s v="Pune"/>
    <x v="6"/>
    <s v="Customer_2004"/>
    <x v="6"/>
    <x v="2"/>
    <n v="15"/>
    <n v="52709"/>
    <n v="43135"/>
    <n v="9574"/>
    <n v="0.18163880931150278"/>
    <x v="0"/>
  </r>
  <r>
    <s v="ORD00314"/>
    <s v="2025-10-16"/>
    <x v="7"/>
    <n v="2025"/>
    <x v="2"/>
    <s v="Chandigarh"/>
    <x v="5"/>
    <s v="Customer_5027"/>
    <x v="7"/>
    <x v="0"/>
    <n v="10"/>
    <n v="93867"/>
    <n v="63241"/>
    <n v="30626"/>
    <n v="0.32627014818839423"/>
    <x v="1"/>
  </r>
  <r>
    <s v="ORD00315"/>
    <s v="2025-04-13"/>
    <x v="8"/>
    <n v="2025"/>
    <x v="3"/>
    <s v="Bangalore"/>
    <x v="2"/>
    <s v="Customer_7632"/>
    <x v="4"/>
    <x v="2"/>
    <n v="25"/>
    <n v="15065"/>
    <n v="8994"/>
    <n v="6071"/>
    <n v="0.40298705609027546"/>
    <x v="2"/>
  </r>
  <r>
    <s v="ORD00316"/>
    <s v="2025-07-04"/>
    <x v="0"/>
    <n v="2025"/>
    <x v="1"/>
    <s v="Mumbai"/>
    <x v="1"/>
    <s v="Customer_5802"/>
    <x v="2"/>
    <x v="0"/>
    <n v="11"/>
    <n v="48776"/>
    <n v="38874"/>
    <n v="9902"/>
    <n v="0.20300967689027391"/>
    <x v="1"/>
  </r>
  <r>
    <s v="ORD00317"/>
    <s v="2025-12-07"/>
    <x v="1"/>
    <n v="2025"/>
    <x v="2"/>
    <s v="Chandigarh"/>
    <x v="4"/>
    <s v="Customer_4154"/>
    <x v="3"/>
    <x v="1"/>
    <n v="6"/>
    <n v="107342"/>
    <n v="53809"/>
    <n v="53533"/>
    <n v="0.498714389521343"/>
    <x v="3"/>
  </r>
  <r>
    <s v="ORD00318"/>
    <s v="2025-04-09"/>
    <x v="8"/>
    <n v="2025"/>
    <x v="0"/>
    <s v="Bhubaneswar"/>
    <x v="1"/>
    <s v="Customer_3558"/>
    <x v="6"/>
    <x v="2"/>
    <n v="8"/>
    <n v="13489"/>
    <n v="10131"/>
    <n v="3358"/>
    <n v="0.24894358366076061"/>
    <x v="0"/>
  </r>
  <r>
    <s v="ORD00319"/>
    <s v="2025-06-19"/>
    <x v="9"/>
    <n v="2025"/>
    <x v="1"/>
    <s v="Pune"/>
    <x v="0"/>
    <s v="Customer_9906"/>
    <x v="7"/>
    <x v="0"/>
    <n v="22"/>
    <n v="44863"/>
    <n v="20537"/>
    <n v="24326"/>
    <n v="0.54222856251253815"/>
    <x v="0"/>
  </r>
  <r>
    <s v="ORD00320"/>
    <s v="2025-02-22"/>
    <x v="3"/>
    <n v="2025"/>
    <x v="3"/>
    <s v="Chennai"/>
    <x v="3"/>
    <s v="Customer_7340"/>
    <x v="5"/>
    <x v="3"/>
    <n v="16"/>
    <n v="109635"/>
    <n v="81209"/>
    <n v="28426"/>
    <n v="0.25927851507274136"/>
    <x v="3"/>
  </r>
  <r>
    <s v="ORD00321"/>
    <s v="2025-09-20"/>
    <x v="6"/>
    <n v="2025"/>
    <x v="0"/>
    <s v="Kolkata"/>
    <x v="3"/>
    <s v="Customer_5402"/>
    <x v="6"/>
    <x v="2"/>
    <n v="18"/>
    <n v="32033"/>
    <n v="22163"/>
    <n v="9870"/>
    <n v="0.30811975150625914"/>
    <x v="1"/>
  </r>
  <r>
    <s v="ORD00323"/>
    <s v="2025-04-30"/>
    <x v="8"/>
    <n v="2025"/>
    <x v="2"/>
    <s v="Delhi"/>
    <x v="4"/>
    <s v="Customer_6290"/>
    <x v="0"/>
    <x v="0"/>
    <n v="7"/>
    <n v="92117"/>
    <n v="73840"/>
    <n v="18277"/>
    <n v="0.19841071680580133"/>
    <x v="2"/>
  </r>
  <r>
    <s v="ORD00324"/>
    <s v="2025-11-22"/>
    <x v="11"/>
    <n v="2025"/>
    <x v="3"/>
    <s v="Chennai"/>
    <x v="5"/>
    <s v="Customer_9274"/>
    <x v="0"/>
    <x v="0"/>
    <n v="12"/>
    <n v="29399"/>
    <n v="20899"/>
    <n v="8500"/>
    <n v="0.28912548045851899"/>
    <x v="0"/>
  </r>
  <r>
    <s v="ORD00325"/>
    <s v="2025-11-02"/>
    <x v="11"/>
    <n v="2025"/>
    <x v="0"/>
    <s v="Bhubaneswar"/>
    <x v="1"/>
    <s v="Customer_4947"/>
    <x v="6"/>
    <x v="2"/>
    <n v="5"/>
    <n v="83930"/>
    <n v="42301"/>
    <n v="41629"/>
    <n v="0.49599666388657215"/>
    <x v="0"/>
  </r>
  <r>
    <s v="ORD00326"/>
    <s v="2025-05-22"/>
    <x v="4"/>
    <n v="2025"/>
    <x v="2"/>
    <s v="Delhi"/>
    <x v="6"/>
    <s v="Customer_4949"/>
    <x v="3"/>
    <x v="1"/>
    <n v="9"/>
    <n v="105519"/>
    <n v="58907"/>
    <n v="46612"/>
    <n v="0.44174035007913265"/>
    <x v="2"/>
  </r>
  <r>
    <s v="ORD00327"/>
    <s v="2025-05-18"/>
    <x v="4"/>
    <n v="2025"/>
    <x v="0"/>
    <s v="Bhubaneswar"/>
    <x v="1"/>
    <s v="Customer_7769"/>
    <x v="4"/>
    <x v="2"/>
    <n v="11"/>
    <n v="38738"/>
    <n v="30200"/>
    <n v="8538"/>
    <n v="0.22040373793174661"/>
    <x v="3"/>
  </r>
  <r>
    <s v="ORD00328"/>
    <s v="2025-07-08"/>
    <x v="0"/>
    <n v="2025"/>
    <x v="3"/>
    <s v="Bangalore"/>
    <x v="7"/>
    <s v="Customer_4487"/>
    <x v="2"/>
    <x v="0"/>
    <n v="13"/>
    <n v="47634"/>
    <n v="35156"/>
    <n v="12478"/>
    <n v="0.26195574589578874"/>
    <x v="3"/>
  </r>
  <r>
    <s v="ORD00329"/>
    <s v="2025-09-15"/>
    <x v="6"/>
    <n v="2025"/>
    <x v="3"/>
    <s v="Chennai"/>
    <x v="0"/>
    <s v="Customer_7883"/>
    <x v="4"/>
    <x v="2"/>
    <n v="10"/>
    <n v="70069"/>
    <n v="46864"/>
    <n v="23205"/>
    <n v="0.331173557493328"/>
    <x v="2"/>
  </r>
  <r>
    <s v="ORD00331"/>
    <s v="2025-08-04"/>
    <x v="10"/>
    <n v="2025"/>
    <x v="3"/>
    <s v="Chennai"/>
    <x v="4"/>
    <s v="Customer_3151"/>
    <x v="6"/>
    <x v="2"/>
    <n v="25"/>
    <n v="14716"/>
    <n v="9350"/>
    <n v="5366"/>
    <n v="0.3646371296547975"/>
    <x v="1"/>
  </r>
  <r>
    <s v="ORD00332"/>
    <s v="2025-07-15"/>
    <x v="0"/>
    <n v="2025"/>
    <x v="1"/>
    <s v="Pune"/>
    <x v="4"/>
    <s v="Customer_4017"/>
    <x v="4"/>
    <x v="2"/>
    <n v="11"/>
    <n v="45333"/>
    <n v="31941"/>
    <n v="13392"/>
    <n v="0.29541393686718287"/>
    <x v="0"/>
  </r>
  <r>
    <s v="ORD00333"/>
    <s v="2025-02-20"/>
    <x v="3"/>
    <n v="2025"/>
    <x v="1"/>
    <s v="Mumbai"/>
    <x v="6"/>
    <s v="Customer_3629"/>
    <x v="2"/>
    <x v="0"/>
    <n v="15"/>
    <n v="40192"/>
    <n v="26070"/>
    <n v="14122"/>
    <n v="0.35136345541401276"/>
    <x v="3"/>
  </r>
  <r>
    <s v="ORD00334"/>
    <s v="2025-11-30"/>
    <x v="11"/>
    <n v="2025"/>
    <x v="3"/>
    <s v="Chennai"/>
    <x v="5"/>
    <s v="Customer_1525"/>
    <x v="3"/>
    <x v="1"/>
    <n v="1"/>
    <n v="72277"/>
    <n v="48246"/>
    <n v="24031"/>
    <n v="0.33248474618481677"/>
    <x v="2"/>
  </r>
  <r>
    <s v="ORD00335"/>
    <s v="2025-11-06"/>
    <x v="11"/>
    <n v="2025"/>
    <x v="2"/>
    <s v="Delhi"/>
    <x v="6"/>
    <s v="Customer_4826"/>
    <x v="4"/>
    <x v="2"/>
    <n v="21"/>
    <n v="115581"/>
    <n v="97476"/>
    <n v="18105"/>
    <n v="0.15664339294520727"/>
    <x v="2"/>
  </r>
  <r>
    <s v="ORD00336"/>
    <s v="2025-10-22"/>
    <x v="7"/>
    <n v="2025"/>
    <x v="0"/>
    <s v="Kolkata"/>
    <x v="2"/>
    <s v="Customer_8016"/>
    <x v="1"/>
    <x v="0"/>
    <n v="24"/>
    <n v="62569"/>
    <n v="42169"/>
    <n v="20400"/>
    <n v="0.32604005178283174"/>
    <x v="2"/>
  </r>
  <r>
    <s v="ORD00337"/>
    <s v="2025-04-01"/>
    <x v="8"/>
    <n v="2025"/>
    <x v="3"/>
    <s v="Chennai"/>
    <x v="5"/>
    <s v="Customer_2099"/>
    <x v="5"/>
    <x v="3"/>
    <n v="22"/>
    <n v="90820"/>
    <n v="55694"/>
    <n v="35126"/>
    <n v="0.38676502972913457"/>
    <x v="3"/>
  </r>
  <r>
    <s v="ORD00338"/>
    <s v="2025-10-21"/>
    <x v="7"/>
    <n v="2025"/>
    <x v="2"/>
    <s v="Delhi"/>
    <x v="0"/>
    <s v="Customer_3141"/>
    <x v="4"/>
    <x v="2"/>
    <n v="9"/>
    <n v="10063"/>
    <n v="5913"/>
    <n v="4150"/>
    <n v="0.41240186823015007"/>
    <x v="2"/>
  </r>
  <r>
    <s v="ORD00339"/>
    <s v="2025-05-11"/>
    <x v="4"/>
    <n v="2025"/>
    <x v="3"/>
    <s v="Chennai"/>
    <x v="7"/>
    <s v="Customer_6544"/>
    <x v="0"/>
    <x v="0"/>
    <n v="17"/>
    <n v="15216"/>
    <n v="7297"/>
    <n v="7919"/>
    <n v="0.52043901156677186"/>
    <x v="3"/>
  </r>
  <r>
    <s v="ORD00340"/>
    <s v="2025-07-22"/>
    <x v="0"/>
    <n v="2025"/>
    <x v="1"/>
    <s v="Mumbai"/>
    <x v="6"/>
    <s v="Customer_5672"/>
    <x v="2"/>
    <x v="0"/>
    <n v="1"/>
    <n v="46548"/>
    <n v="36336"/>
    <n v="10212"/>
    <n v="0.21938643980407321"/>
    <x v="0"/>
  </r>
  <r>
    <s v="ORD00341"/>
    <s v="2025-05-10"/>
    <x v="4"/>
    <n v="2025"/>
    <x v="3"/>
    <s v="Chennai"/>
    <x v="2"/>
    <s v="Customer_4065"/>
    <x v="6"/>
    <x v="2"/>
    <n v="19"/>
    <n v="57870"/>
    <n v="28086"/>
    <n v="29784"/>
    <n v="0.5146708138932089"/>
    <x v="3"/>
  </r>
  <r>
    <s v="ORD00342"/>
    <s v="2025-12-31"/>
    <x v="1"/>
    <n v="2025"/>
    <x v="0"/>
    <s v="Kolkata"/>
    <x v="3"/>
    <s v="Customer_3438"/>
    <x v="6"/>
    <x v="2"/>
    <n v="23"/>
    <n v="95729"/>
    <n v="80782"/>
    <n v="14947"/>
    <n v="0.15613868315766383"/>
    <x v="2"/>
  </r>
  <r>
    <s v="ORD00343"/>
    <s v="2025-01-19"/>
    <x v="5"/>
    <n v="2025"/>
    <x v="1"/>
    <s v="Mumbai"/>
    <x v="1"/>
    <s v="Customer_6830"/>
    <x v="5"/>
    <x v="3"/>
    <n v="21"/>
    <n v="30634"/>
    <n v="21626"/>
    <n v="9008"/>
    <n v="0.29405236012273944"/>
    <x v="2"/>
  </r>
  <r>
    <s v="ORD00344"/>
    <s v="2025-11-18"/>
    <x v="11"/>
    <n v="2025"/>
    <x v="1"/>
    <s v="Pune"/>
    <x v="7"/>
    <s v="Customer_3708"/>
    <x v="2"/>
    <x v="0"/>
    <n v="24"/>
    <n v="99637"/>
    <n v="66118"/>
    <n v="33519"/>
    <n v="0.33641117255637965"/>
    <x v="2"/>
  </r>
  <r>
    <s v="ORD00345"/>
    <s v="2025-12-27"/>
    <x v="1"/>
    <n v="2025"/>
    <x v="3"/>
    <s v="Chennai"/>
    <x v="6"/>
    <s v="Customer_3998"/>
    <x v="8"/>
    <x v="4"/>
    <n v="13"/>
    <n v="28431"/>
    <n v="14875"/>
    <n v="13556"/>
    <n v="0.47680348914916815"/>
    <x v="2"/>
  </r>
  <r>
    <s v="ORD00346"/>
    <s v="2025-11-16"/>
    <x v="11"/>
    <n v="2025"/>
    <x v="1"/>
    <s v="Pune"/>
    <x v="0"/>
    <s v="Customer_9632"/>
    <x v="5"/>
    <x v="3"/>
    <n v="17"/>
    <n v="3902"/>
    <n v="2985"/>
    <n v="917"/>
    <n v="0.23500768836494107"/>
    <x v="1"/>
  </r>
  <r>
    <s v="ORD00347"/>
    <s v="2025-09-03"/>
    <x v="6"/>
    <n v="2025"/>
    <x v="2"/>
    <s v="Delhi"/>
    <x v="3"/>
    <s v="Customer_4316"/>
    <x v="1"/>
    <x v="0"/>
    <n v="11"/>
    <n v="73918"/>
    <n v="38698"/>
    <n v="35220"/>
    <n v="0.47647393057171461"/>
    <x v="1"/>
  </r>
  <r>
    <s v="ORD00348"/>
    <s v="2025-01-07"/>
    <x v="5"/>
    <n v="2025"/>
    <x v="0"/>
    <s v="Kolkata"/>
    <x v="0"/>
    <s v="Customer_2442"/>
    <x v="8"/>
    <x v="4"/>
    <n v="2"/>
    <n v="25961"/>
    <n v="13518"/>
    <n v="12443"/>
    <n v="0.47929586687723896"/>
    <x v="0"/>
  </r>
  <r>
    <s v="ORD00349"/>
    <s v="2025-05-11"/>
    <x v="4"/>
    <n v="2025"/>
    <x v="3"/>
    <s v="Bangalore"/>
    <x v="2"/>
    <s v="Customer_9208"/>
    <x v="6"/>
    <x v="2"/>
    <n v="21"/>
    <n v="97684"/>
    <n v="55508"/>
    <n v="42176"/>
    <n v="0.43175955120592935"/>
    <x v="3"/>
  </r>
  <r>
    <s v="ORD00350"/>
    <s v="2025-02-16"/>
    <x v="3"/>
    <n v="2025"/>
    <x v="1"/>
    <s v="Pune"/>
    <x v="5"/>
    <s v="Customer_7137"/>
    <x v="3"/>
    <x v="1"/>
    <n v="25"/>
    <n v="67771"/>
    <n v="52295"/>
    <n v="15476"/>
    <n v="0.22835726195570377"/>
    <x v="0"/>
  </r>
  <r>
    <s v="ORD00351"/>
    <s v="2025-11-14"/>
    <x v="11"/>
    <n v="2025"/>
    <x v="2"/>
    <s v="Chandigarh"/>
    <x v="7"/>
    <s v="Customer_6064"/>
    <x v="7"/>
    <x v="0"/>
    <n v="10"/>
    <n v="11756"/>
    <n v="9931"/>
    <n v="1825"/>
    <n v="0.15523987750935692"/>
    <x v="1"/>
  </r>
  <r>
    <s v="ORD00352"/>
    <s v="2025-03-05"/>
    <x v="2"/>
    <n v="2025"/>
    <x v="0"/>
    <s v="Bhubaneswar"/>
    <x v="1"/>
    <s v="Customer_3561"/>
    <x v="4"/>
    <x v="2"/>
    <n v="20"/>
    <n v="45839"/>
    <n v="28465"/>
    <n v="17374"/>
    <n v="0.379022229978839"/>
    <x v="2"/>
  </r>
  <r>
    <s v="ORD00353"/>
    <s v="2025-03-01"/>
    <x v="2"/>
    <n v="2025"/>
    <x v="2"/>
    <s v="Delhi"/>
    <x v="0"/>
    <s v="Customer_8774"/>
    <x v="3"/>
    <x v="1"/>
    <n v="8"/>
    <n v="5122"/>
    <n v="3536"/>
    <n v="1586"/>
    <n v="0.30964467005076141"/>
    <x v="1"/>
  </r>
  <r>
    <s v="ORD00354"/>
    <s v="2025-03-10"/>
    <x v="2"/>
    <n v="2025"/>
    <x v="3"/>
    <s v="Chennai"/>
    <x v="5"/>
    <s v="Customer_4706"/>
    <x v="6"/>
    <x v="2"/>
    <n v="16"/>
    <n v="116766"/>
    <n v="85715"/>
    <n v="31051"/>
    <n v="0.26592501241799837"/>
    <x v="0"/>
  </r>
  <r>
    <s v="ORD00355"/>
    <s v="2025-08-11"/>
    <x v="10"/>
    <n v="2025"/>
    <x v="0"/>
    <s v="Kolkata"/>
    <x v="2"/>
    <s v="Customer_2282"/>
    <x v="4"/>
    <x v="2"/>
    <n v="15"/>
    <n v="49711"/>
    <n v="23228"/>
    <n v="26483"/>
    <n v="0.53273923276538393"/>
    <x v="3"/>
  </r>
  <r>
    <s v="ORD00356"/>
    <s v="2025-11-22"/>
    <x v="11"/>
    <n v="2025"/>
    <x v="0"/>
    <s v="Kolkata"/>
    <x v="2"/>
    <s v="Customer_4419"/>
    <x v="1"/>
    <x v="0"/>
    <n v="11"/>
    <n v="48116"/>
    <n v="37435"/>
    <n v="10681"/>
    <n v="0.22198437110316735"/>
    <x v="2"/>
  </r>
  <r>
    <s v="ORD00357"/>
    <s v="2025-04-12"/>
    <x v="8"/>
    <n v="2025"/>
    <x v="3"/>
    <s v="Bangalore"/>
    <x v="1"/>
    <s v="Customer_8580"/>
    <x v="0"/>
    <x v="0"/>
    <n v="2"/>
    <n v="87800"/>
    <n v="58941"/>
    <n v="28859"/>
    <n v="0.32869020501138951"/>
    <x v="0"/>
  </r>
  <r>
    <s v="ORD00358"/>
    <s v="2025-09-19"/>
    <x v="6"/>
    <n v="2025"/>
    <x v="0"/>
    <s v="Bhubaneswar"/>
    <x v="1"/>
    <s v="Customer_2984"/>
    <x v="6"/>
    <x v="2"/>
    <n v="2"/>
    <n v="14529"/>
    <n v="8275"/>
    <n v="6254"/>
    <n v="0.43044944593571477"/>
    <x v="1"/>
  </r>
  <r>
    <s v="ORD00359"/>
    <s v="2025-04-23"/>
    <x v="8"/>
    <n v="2025"/>
    <x v="2"/>
    <s v="Chandigarh"/>
    <x v="2"/>
    <s v="Customer_6239"/>
    <x v="5"/>
    <x v="3"/>
    <n v="14"/>
    <n v="110581"/>
    <n v="80095"/>
    <n v="30486"/>
    <n v="0.27568931371573779"/>
    <x v="2"/>
  </r>
  <r>
    <s v="ORD00360"/>
    <s v="2025-10-21"/>
    <x v="7"/>
    <n v="2025"/>
    <x v="0"/>
    <s v="Bhubaneswar"/>
    <x v="3"/>
    <s v="Customer_6638"/>
    <x v="1"/>
    <x v="0"/>
    <n v="3"/>
    <n v="104076"/>
    <n v="66629"/>
    <n v="37447"/>
    <n v="0.35980437372689189"/>
    <x v="1"/>
  </r>
  <r>
    <s v="ORD00361"/>
    <s v="2025-02-17"/>
    <x v="3"/>
    <n v="2025"/>
    <x v="3"/>
    <s v="Bangalore"/>
    <x v="7"/>
    <s v="Customer_1606"/>
    <x v="0"/>
    <x v="0"/>
    <n v="7"/>
    <n v="91819"/>
    <n v="53316"/>
    <n v="38503"/>
    <n v="0.41933586730415273"/>
    <x v="1"/>
  </r>
  <r>
    <s v="ORD00362"/>
    <s v="2025-09-17"/>
    <x v="6"/>
    <n v="2025"/>
    <x v="0"/>
    <s v="Bhubaneswar"/>
    <x v="5"/>
    <s v="Customer_5580"/>
    <x v="6"/>
    <x v="2"/>
    <n v="20"/>
    <n v="90180"/>
    <n v="51349"/>
    <n v="38831"/>
    <n v="0.43059436682191171"/>
    <x v="1"/>
  </r>
  <r>
    <s v="ORD00363"/>
    <s v="2025-03-13"/>
    <x v="2"/>
    <n v="2025"/>
    <x v="1"/>
    <s v="Mumbai"/>
    <x v="2"/>
    <s v="Customer_9902"/>
    <x v="7"/>
    <x v="0"/>
    <n v="16"/>
    <n v="116466"/>
    <n v="97479"/>
    <n v="18987"/>
    <n v="0.1630261192107568"/>
    <x v="0"/>
  </r>
  <r>
    <s v="ORD00364"/>
    <s v="2025-01-20"/>
    <x v="5"/>
    <n v="2025"/>
    <x v="2"/>
    <s v="Delhi"/>
    <x v="3"/>
    <s v="Customer_6068"/>
    <x v="4"/>
    <x v="2"/>
    <n v="17"/>
    <n v="117373"/>
    <n v="72865"/>
    <n v="44508"/>
    <n v="0.37920134954376217"/>
    <x v="0"/>
  </r>
  <r>
    <s v="ORD00365"/>
    <s v="2025-05-18"/>
    <x v="4"/>
    <n v="2025"/>
    <x v="3"/>
    <s v="Chennai"/>
    <x v="4"/>
    <s v="Customer_1984"/>
    <x v="3"/>
    <x v="1"/>
    <n v="9"/>
    <n v="62010"/>
    <n v="36290"/>
    <n v="25720"/>
    <n v="0.41477181099822608"/>
    <x v="0"/>
  </r>
  <r>
    <s v="ORD00366"/>
    <s v="2025-03-21"/>
    <x v="2"/>
    <n v="2025"/>
    <x v="1"/>
    <s v="Mumbai"/>
    <x v="5"/>
    <s v="Customer_1134"/>
    <x v="1"/>
    <x v="0"/>
    <n v="4"/>
    <n v="41762"/>
    <n v="28429"/>
    <n v="13333"/>
    <n v="0.31926152962022891"/>
    <x v="3"/>
  </r>
  <r>
    <s v="ORD00367"/>
    <s v="2025-10-05"/>
    <x v="7"/>
    <n v="2025"/>
    <x v="0"/>
    <s v="Kolkata"/>
    <x v="7"/>
    <s v="Customer_7463"/>
    <x v="2"/>
    <x v="0"/>
    <n v="14"/>
    <n v="18392"/>
    <n v="12807"/>
    <n v="5585"/>
    <n v="0.30366463679860811"/>
    <x v="2"/>
  </r>
  <r>
    <s v="ORD00368"/>
    <s v="2025-10-05"/>
    <x v="7"/>
    <n v="2025"/>
    <x v="1"/>
    <s v="Pune"/>
    <x v="3"/>
    <s v="Customer_8508"/>
    <x v="7"/>
    <x v="0"/>
    <n v="24"/>
    <n v="23909"/>
    <n v="14489"/>
    <n v="9420"/>
    <n v="0.39399389351290309"/>
    <x v="2"/>
  </r>
  <r>
    <s v="ORD00369"/>
    <s v="2025-03-26"/>
    <x v="2"/>
    <n v="2025"/>
    <x v="2"/>
    <s v="Delhi"/>
    <x v="0"/>
    <s v="Customer_1699"/>
    <x v="1"/>
    <x v="0"/>
    <n v="2"/>
    <n v="73211"/>
    <n v="58026"/>
    <n v="15185"/>
    <n v="0.20741418639275519"/>
    <x v="0"/>
  </r>
  <r>
    <s v="ORD00370"/>
    <s v="2025-03-14"/>
    <x v="2"/>
    <n v="2025"/>
    <x v="1"/>
    <s v="Pune"/>
    <x v="4"/>
    <s v="Customer_2518"/>
    <x v="1"/>
    <x v="0"/>
    <n v="3"/>
    <n v="100151"/>
    <n v="74855"/>
    <n v="25296"/>
    <n v="0.25257860630448026"/>
    <x v="3"/>
  </r>
  <r>
    <s v="ORD00371"/>
    <s v="2025-01-08"/>
    <x v="5"/>
    <n v="2025"/>
    <x v="1"/>
    <s v="Pune"/>
    <x v="6"/>
    <s v="Customer_1392"/>
    <x v="0"/>
    <x v="0"/>
    <n v="17"/>
    <n v="103523"/>
    <n v="71894"/>
    <n v="31629"/>
    <n v="0.30552630816340332"/>
    <x v="0"/>
  </r>
  <r>
    <s v="ORD00372"/>
    <s v="2025-03-13"/>
    <x v="2"/>
    <n v="2025"/>
    <x v="1"/>
    <s v="Pune"/>
    <x v="5"/>
    <s v="Customer_7005"/>
    <x v="2"/>
    <x v="0"/>
    <n v="6"/>
    <n v="38940"/>
    <n v="31382"/>
    <n v="7558"/>
    <n v="0.19409347714432459"/>
    <x v="1"/>
  </r>
  <r>
    <s v="ORD00373"/>
    <s v="2025-11-11"/>
    <x v="11"/>
    <n v="2025"/>
    <x v="0"/>
    <s v="Kolkata"/>
    <x v="6"/>
    <s v="Customer_6924"/>
    <x v="1"/>
    <x v="0"/>
    <n v="15"/>
    <n v="41835"/>
    <n v="21809"/>
    <n v="20026"/>
    <n v="0.47869009202820606"/>
    <x v="2"/>
  </r>
  <r>
    <s v="ORD00374"/>
    <s v="2025-07-07"/>
    <x v="0"/>
    <n v="2025"/>
    <x v="1"/>
    <s v="Pune"/>
    <x v="4"/>
    <s v="Customer_3729"/>
    <x v="4"/>
    <x v="2"/>
    <n v="15"/>
    <n v="65507"/>
    <n v="44313"/>
    <n v="21194"/>
    <n v="0.32353794250996076"/>
    <x v="2"/>
  </r>
  <r>
    <s v="ORD00375"/>
    <s v="2025-12-09"/>
    <x v="1"/>
    <n v="2025"/>
    <x v="1"/>
    <s v="Mumbai"/>
    <x v="7"/>
    <s v="Customer_1473"/>
    <x v="1"/>
    <x v="0"/>
    <n v="13"/>
    <n v="79025"/>
    <n v="41026"/>
    <n v="37999"/>
    <n v="0.48084783296425182"/>
    <x v="3"/>
  </r>
  <r>
    <s v="ORD00376"/>
    <s v="2025-02-03"/>
    <x v="3"/>
    <n v="2025"/>
    <x v="0"/>
    <s v="Bhubaneswar"/>
    <x v="5"/>
    <s v="Customer_6394"/>
    <x v="5"/>
    <x v="3"/>
    <n v="4"/>
    <n v="53337"/>
    <n v="26327"/>
    <n v="27010"/>
    <n v="0.50640268481541895"/>
    <x v="2"/>
  </r>
  <r>
    <s v="ORD00377"/>
    <s v="2025-03-18"/>
    <x v="2"/>
    <n v="2025"/>
    <x v="1"/>
    <s v="Mumbai"/>
    <x v="7"/>
    <s v="Customer_8799"/>
    <x v="7"/>
    <x v="0"/>
    <n v="11"/>
    <n v="3340"/>
    <n v="1654"/>
    <n v="1686"/>
    <n v="0.50479041916167666"/>
    <x v="1"/>
  </r>
  <r>
    <s v="ORD00378"/>
    <s v="2025-07-04"/>
    <x v="0"/>
    <n v="2025"/>
    <x v="1"/>
    <s v="Pune"/>
    <x v="7"/>
    <s v="Customer_5016"/>
    <x v="2"/>
    <x v="0"/>
    <n v="1"/>
    <n v="102755"/>
    <n v="77665"/>
    <n v="25090"/>
    <n v="0.24417303294243589"/>
    <x v="2"/>
  </r>
  <r>
    <s v="ORD00379"/>
    <s v="2025-06-17"/>
    <x v="9"/>
    <n v="2025"/>
    <x v="1"/>
    <s v="Pune"/>
    <x v="5"/>
    <s v="Customer_5104"/>
    <x v="3"/>
    <x v="1"/>
    <n v="16"/>
    <n v="14438"/>
    <n v="7199"/>
    <n v="7239"/>
    <n v="0.50138523341182994"/>
    <x v="0"/>
  </r>
  <r>
    <s v="ORD00380"/>
    <s v="2025-10-09"/>
    <x v="7"/>
    <n v="2025"/>
    <x v="2"/>
    <s v="Delhi"/>
    <x v="0"/>
    <s v="Customer_2353"/>
    <x v="0"/>
    <x v="0"/>
    <n v="2"/>
    <n v="10282"/>
    <n v="7022"/>
    <n v="3260"/>
    <n v="0.31705893794981521"/>
    <x v="2"/>
  </r>
  <r>
    <s v="ORD00381"/>
    <s v="2025-09-17"/>
    <x v="6"/>
    <n v="2025"/>
    <x v="2"/>
    <s v="Chandigarh"/>
    <x v="3"/>
    <s v="Customer_9710"/>
    <x v="0"/>
    <x v="0"/>
    <n v="14"/>
    <n v="18033"/>
    <n v="9183"/>
    <n v="8850"/>
    <n v="0.49076692729995008"/>
    <x v="3"/>
  </r>
  <r>
    <s v="ORD00383"/>
    <s v="2025-02-16"/>
    <x v="3"/>
    <n v="2025"/>
    <x v="2"/>
    <s v="Chandigarh"/>
    <x v="3"/>
    <s v="Customer_2035"/>
    <x v="0"/>
    <x v="0"/>
    <n v="7"/>
    <n v="89192"/>
    <n v="62000"/>
    <n v="27192"/>
    <n v="0.30487039196340476"/>
    <x v="0"/>
  </r>
  <r>
    <s v="ORD00384"/>
    <s v="2025-05-06"/>
    <x v="4"/>
    <n v="2025"/>
    <x v="2"/>
    <s v="Delhi"/>
    <x v="3"/>
    <s v="Customer_3688"/>
    <x v="2"/>
    <x v="0"/>
    <n v="11"/>
    <n v="60201"/>
    <n v="32483"/>
    <n v="27718"/>
    <n v="0.46042424544442784"/>
    <x v="2"/>
  </r>
  <r>
    <s v="ORD00385"/>
    <s v="2025-06-20"/>
    <x v="9"/>
    <n v="2025"/>
    <x v="0"/>
    <s v="Kolkata"/>
    <x v="4"/>
    <s v="Customer_1481"/>
    <x v="8"/>
    <x v="4"/>
    <n v="17"/>
    <n v="96527"/>
    <n v="55882"/>
    <n v="40645"/>
    <n v="0.42107389642276255"/>
    <x v="3"/>
  </r>
  <r>
    <s v="ORD00386"/>
    <s v="2025-11-27"/>
    <x v="11"/>
    <n v="2025"/>
    <x v="0"/>
    <s v="Bhubaneswar"/>
    <x v="5"/>
    <s v="Customer_5121"/>
    <x v="2"/>
    <x v="0"/>
    <n v="9"/>
    <n v="36495"/>
    <n v="27418"/>
    <n v="9077"/>
    <n v="0.24871900260309632"/>
    <x v="1"/>
  </r>
  <r>
    <s v="ORD00387"/>
    <s v="2025-08-11"/>
    <x v="10"/>
    <n v="2025"/>
    <x v="1"/>
    <s v="Pune"/>
    <x v="2"/>
    <s v="Customer_9845"/>
    <x v="7"/>
    <x v="0"/>
    <n v="23"/>
    <n v="88071"/>
    <n v="40626"/>
    <n v="47445"/>
    <n v="0.53871308376196481"/>
    <x v="0"/>
  </r>
  <r>
    <s v="ORD00388"/>
    <s v="2025-11-15"/>
    <x v="11"/>
    <n v="2025"/>
    <x v="3"/>
    <s v="Bangalore"/>
    <x v="4"/>
    <s v="Customer_2641"/>
    <x v="5"/>
    <x v="3"/>
    <n v="17"/>
    <n v="61753"/>
    <n v="46666"/>
    <n v="15087"/>
    <n v="0.24431201722993215"/>
    <x v="3"/>
  </r>
  <r>
    <s v="ORD00389"/>
    <s v="2025-09-09"/>
    <x v="6"/>
    <n v="2025"/>
    <x v="3"/>
    <s v="Bangalore"/>
    <x v="7"/>
    <s v="Customer_4379"/>
    <x v="7"/>
    <x v="0"/>
    <n v="8"/>
    <n v="15548"/>
    <n v="11851"/>
    <n v="3697"/>
    <n v="0.23777977874967843"/>
    <x v="0"/>
  </r>
  <r>
    <s v="ORD00390"/>
    <s v="2025-07-28"/>
    <x v="0"/>
    <n v="2025"/>
    <x v="0"/>
    <s v="Bhubaneswar"/>
    <x v="3"/>
    <s v="Customer_2620"/>
    <x v="3"/>
    <x v="1"/>
    <n v="17"/>
    <n v="117043"/>
    <n v="62204"/>
    <n v="54839"/>
    <n v="0.46853720427535178"/>
    <x v="0"/>
  </r>
  <r>
    <s v="ORD00391"/>
    <s v="2025-06-23"/>
    <x v="9"/>
    <n v="2025"/>
    <x v="0"/>
    <s v="Bhubaneswar"/>
    <x v="1"/>
    <s v="Customer_5712"/>
    <x v="6"/>
    <x v="2"/>
    <n v="24"/>
    <n v="31408"/>
    <n v="17425"/>
    <n v="13983"/>
    <n v="0.4452050433010698"/>
    <x v="0"/>
  </r>
  <r>
    <s v="ORD00392"/>
    <s v="2025-06-30"/>
    <x v="9"/>
    <n v="2025"/>
    <x v="0"/>
    <s v="Kolkata"/>
    <x v="5"/>
    <s v="Customer_2371"/>
    <x v="2"/>
    <x v="0"/>
    <n v="1"/>
    <n v="61337"/>
    <n v="49141"/>
    <n v="12196"/>
    <n v="0.19883593915581133"/>
    <x v="2"/>
  </r>
  <r>
    <s v="ORD00393"/>
    <s v="2025-08-16"/>
    <x v="10"/>
    <n v="2025"/>
    <x v="0"/>
    <s v="Bhubaneswar"/>
    <x v="0"/>
    <s v="Customer_2666"/>
    <x v="8"/>
    <x v="4"/>
    <n v="15"/>
    <n v="96533"/>
    <n v="53178"/>
    <n v="43355"/>
    <n v="0.44912102597039355"/>
    <x v="2"/>
  </r>
  <r>
    <s v="ORD00394"/>
    <s v="2026-01-01"/>
    <x v="5"/>
    <n v="2026"/>
    <x v="1"/>
    <s v="Mumbai"/>
    <x v="2"/>
    <s v="Customer_9675"/>
    <x v="8"/>
    <x v="4"/>
    <n v="23"/>
    <n v="22908"/>
    <n v="18845"/>
    <n v="4063"/>
    <n v="0.17736162039462197"/>
    <x v="3"/>
  </r>
  <r>
    <s v="ORD00395"/>
    <s v="2025-01-31"/>
    <x v="5"/>
    <n v="2025"/>
    <x v="1"/>
    <s v="Mumbai"/>
    <x v="0"/>
    <s v="Customer_4846"/>
    <x v="4"/>
    <x v="2"/>
    <n v="21"/>
    <n v="44451"/>
    <n v="26513"/>
    <n v="17938"/>
    <n v="0.40354547704213628"/>
    <x v="3"/>
  </r>
  <r>
    <s v="ORD00397"/>
    <s v="2025-09-02"/>
    <x v="6"/>
    <n v="2025"/>
    <x v="1"/>
    <s v="Pune"/>
    <x v="4"/>
    <s v="Customer_6809"/>
    <x v="5"/>
    <x v="3"/>
    <n v="6"/>
    <n v="36084"/>
    <n v="18433"/>
    <n v="17651"/>
    <n v="0.48916417248642058"/>
    <x v="1"/>
  </r>
  <r>
    <s v="ORD00398"/>
    <s v="2025-09-18"/>
    <x v="6"/>
    <n v="2025"/>
    <x v="0"/>
    <s v="Kolkata"/>
    <x v="4"/>
    <s v="Customer_7132"/>
    <x v="7"/>
    <x v="0"/>
    <n v="6"/>
    <n v="26055"/>
    <n v="21511"/>
    <n v="4544"/>
    <n v="0.17440030704279408"/>
    <x v="0"/>
  </r>
  <r>
    <s v="ORD00399"/>
    <s v="2025-12-20"/>
    <x v="1"/>
    <n v="2025"/>
    <x v="0"/>
    <s v="Bhubaneswar"/>
    <x v="5"/>
    <s v="Customer_1224"/>
    <x v="5"/>
    <x v="3"/>
    <n v="18"/>
    <n v="98067"/>
    <n v="72108"/>
    <n v="25959"/>
    <n v="0.26470678209795345"/>
    <x v="1"/>
  </r>
  <r>
    <s v="ORD00400"/>
    <s v="2025-09-17"/>
    <x v="6"/>
    <n v="2025"/>
    <x v="3"/>
    <s v="Bangalore"/>
    <x v="4"/>
    <s v="Customer_9747"/>
    <x v="2"/>
    <x v="0"/>
    <n v="12"/>
    <n v="47567"/>
    <n v="23994"/>
    <n v="23573"/>
    <n v="0.49557466310677573"/>
    <x v="3"/>
  </r>
  <r>
    <s v="ORD00401"/>
    <s v="2025-01-23"/>
    <x v="5"/>
    <n v="2025"/>
    <x v="0"/>
    <s v="Kolkata"/>
    <x v="0"/>
    <s v="Customer_3387"/>
    <x v="1"/>
    <x v="0"/>
    <n v="19"/>
    <n v="97864"/>
    <n v="76861"/>
    <n v="21003"/>
    <n v="0.21461415842393525"/>
    <x v="0"/>
  </r>
  <r>
    <s v="ORD00402"/>
    <s v="2025-04-28"/>
    <x v="8"/>
    <n v="2025"/>
    <x v="0"/>
    <s v="Kolkata"/>
    <x v="7"/>
    <s v="Customer_7885"/>
    <x v="8"/>
    <x v="4"/>
    <n v="15"/>
    <n v="60377"/>
    <n v="50620"/>
    <n v="9757"/>
    <n v="0.16160127200755253"/>
    <x v="1"/>
  </r>
  <r>
    <s v="ORD00403"/>
    <s v="2025-10-15"/>
    <x v="7"/>
    <n v="2025"/>
    <x v="1"/>
    <s v="Mumbai"/>
    <x v="4"/>
    <s v="Customer_7920"/>
    <x v="1"/>
    <x v="0"/>
    <n v="11"/>
    <n v="81576"/>
    <n v="43813"/>
    <n v="37763"/>
    <n v="0.4629180151024811"/>
    <x v="2"/>
  </r>
  <r>
    <s v="ORD00404"/>
    <s v="2025-06-23"/>
    <x v="9"/>
    <n v="2025"/>
    <x v="3"/>
    <s v="Bangalore"/>
    <x v="7"/>
    <s v="Customer_1948"/>
    <x v="6"/>
    <x v="2"/>
    <n v="10"/>
    <n v="91545"/>
    <n v="59808"/>
    <n v="31737"/>
    <n v="0.34668195969195476"/>
    <x v="0"/>
  </r>
  <r>
    <s v="ORD00405"/>
    <s v="2025-08-12"/>
    <x v="10"/>
    <n v="2025"/>
    <x v="1"/>
    <s v="Mumbai"/>
    <x v="7"/>
    <s v="Customer_9332"/>
    <x v="7"/>
    <x v="0"/>
    <n v="25"/>
    <n v="47316"/>
    <n v="22355"/>
    <n v="24961"/>
    <n v="0.52753825344492344"/>
    <x v="2"/>
  </r>
  <r>
    <s v="ORD00406"/>
    <s v="2025-12-22"/>
    <x v="1"/>
    <n v="2025"/>
    <x v="3"/>
    <s v="Bangalore"/>
    <x v="3"/>
    <s v="Customer_3989"/>
    <x v="1"/>
    <x v="0"/>
    <n v="15"/>
    <n v="106962"/>
    <n v="51069"/>
    <n v="55893"/>
    <n v="0.52255006450889097"/>
    <x v="3"/>
  </r>
  <r>
    <s v="ORD00407"/>
    <s v="2025-03-04"/>
    <x v="2"/>
    <n v="2025"/>
    <x v="3"/>
    <s v="Chennai"/>
    <x v="7"/>
    <s v="Customer_6965"/>
    <x v="0"/>
    <x v="0"/>
    <n v="21"/>
    <n v="21819"/>
    <n v="17406"/>
    <n v="4413"/>
    <n v="0.20225491544067098"/>
    <x v="0"/>
  </r>
  <r>
    <s v="ORD00408"/>
    <s v="2025-03-22"/>
    <x v="2"/>
    <n v="2025"/>
    <x v="2"/>
    <s v="Chandigarh"/>
    <x v="4"/>
    <s v="Customer_4589"/>
    <x v="7"/>
    <x v="0"/>
    <n v="11"/>
    <n v="63175"/>
    <n v="40647"/>
    <n v="22528"/>
    <n v="0.35659675504550853"/>
    <x v="1"/>
  </r>
  <r>
    <s v="ORD00410"/>
    <s v="2025-09-10"/>
    <x v="6"/>
    <n v="2025"/>
    <x v="3"/>
    <s v="Chennai"/>
    <x v="4"/>
    <s v="Customer_1240"/>
    <x v="4"/>
    <x v="2"/>
    <n v="14"/>
    <n v="78843"/>
    <n v="40768"/>
    <n v="38075"/>
    <n v="0.48292175589462605"/>
    <x v="0"/>
  </r>
  <r>
    <s v="ORD00411"/>
    <s v="2025-11-20"/>
    <x v="11"/>
    <n v="2025"/>
    <x v="3"/>
    <s v="Chennai"/>
    <x v="6"/>
    <s v="Customer_1480"/>
    <x v="5"/>
    <x v="3"/>
    <n v="8"/>
    <n v="102766"/>
    <n v="46267"/>
    <n v="56499"/>
    <n v="0.54978300216024756"/>
    <x v="0"/>
  </r>
  <r>
    <s v="ORD00412"/>
    <s v="2025-07-14"/>
    <x v="0"/>
    <n v="2025"/>
    <x v="3"/>
    <s v="Bangalore"/>
    <x v="7"/>
    <s v="Customer_5042"/>
    <x v="2"/>
    <x v="0"/>
    <n v="5"/>
    <n v="107327"/>
    <n v="58166"/>
    <n v="49161"/>
    <n v="0.45804876685270252"/>
    <x v="3"/>
  </r>
  <r>
    <s v="ORD00413"/>
    <s v="2025-05-20"/>
    <x v="4"/>
    <n v="2025"/>
    <x v="2"/>
    <s v="Delhi"/>
    <x v="4"/>
    <s v="Customer_7141"/>
    <x v="2"/>
    <x v="0"/>
    <n v="19"/>
    <n v="23342"/>
    <n v="13961"/>
    <n v="9381"/>
    <n v="0.40189358238368605"/>
    <x v="0"/>
  </r>
  <r>
    <s v="ORD00414"/>
    <s v="2025-12-09"/>
    <x v="1"/>
    <n v="2025"/>
    <x v="0"/>
    <s v="Bhubaneswar"/>
    <x v="3"/>
    <s v="Customer_6466"/>
    <x v="0"/>
    <x v="0"/>
    <n v="4"/>
    <n v="20698"/>
    <n v="15994"/>
    <n v="4704"/>
    <n v="0.22726833510484104"/>
    <x v="2"/>
  </r>
  <r>
    <s v="ORD00415"/>
    <s v="2025-04-02"/>
    <x v="8"/>
    <n v="2025"/>
    <x v="1"/>
    <s v="Pune"/>
    <x v="1"/>
    <s v="Customer_6976"/>
    <x v="2"/>
    <x v="0"/>
    <n v="22"/>
    <n v="93286"/>
    <n v="48502"/>
    <n v="44784"/>
    <n v="0.48007203653281305"/>
    <x v="1"/>
  </r>
  <r>
    <s v="ORD00416"/>
    <s v="2025-06-10"/>
    <x v="9"/>
    <n v="2025"/>
    <x v="2"/>
    <s v="Chandigarh"/>
    <x v="2"/>
    <s v="Customer_9784"/>
    <x v="8"/>
    <x v="4"/>
    <n v="3"/>
    <n v="78189"/>
    <n v="59774"/>
    <n v="18415"/>
    <n v="0.23551906278376752"/>
    <x v="2"/>
  </r>
  <r>
    <s v="ORD00417"/>
    <s v="2025-12-05"/>
    <x v="1"/>
    <n v="2025"/>
    <x v="1"/>
    <s v="Mumbai"/>
    <x v="7"/>
    <s v="Customer_5920"/>
    <x v="0"/>
    <x v="0"/>
    <n v="3"/>
    <n v="89083"/>
    <n v="44784"/>
    <n v="44299"/>
    <n v="0.4972778195615325"/>
    <x v="3"/>
  </r>
  <r>
    <s v="ORD00418"/>
    <s v="2025-08-10"/>
    <x v="10"/>
    <n v="2025"/>
    <x v="3"/>
    <s v="Bangalore"/>
    <x v="7"/>
    <s v="Customer_9087"/>
    <x v="0"/>
    <x v="0"/>
    <n v="5"/>
    <n v="89494"/>
    <n v="41446"/>
    <n v="48048"/>
    <n v="0.53688515431202088"/>
    <x v="3"/>
  </r>
  <r>
    <s v="ORD00419"/>
    <s v="2025-09-06"/>
    <x v="6"/>
    <n v="2025"/>
    <x v="2"/>
    <s v="Chandigarh"/>
    <x v="4"/>
    <s v="Customer_8358"/>
    <x v="5"/>
    <x v="3"/>
    <n v="13"/>
    <n v="119798"/>
    <n v="77138"/>
    <n v="42660"/>
    <n v="0.35609943404731298"/>
    <x v="2"/>
  </r>
  <r>
    <s v="ORD00420"/>
    <s v="2025-04-30"/>
    <x v="8"/>
    <n v="2025"/>
    <x v="2"/>
    <s v="Chandigarh"/>
    <x v="0"/>
    <s v="Customer_3036"/>
    <x v="2"/>
    <x v="0"/>
    <n v="4"/>
    <n v="11952"/>
    <n v="9851"/>
    <n v="2101"/>
    <n v="0.17578647925033467"/>
    <x v="1"/>
  </r>
  <r>
    <s v="ORD00421"/>
    <s v="2025-06-12"/>
    <x v="9"/>
    <n v="2025"/>
    <x v="2"/>
    <s v="Chandigarh"/>
    <x v="5"/>
    <s v="Customer_7481"/>
    <x v="5"/>
    <x v="3"/>
    <n v="18"/>
    <n v="47919"/>
    <n v="40376"/>
    <n v="7543"/>
    <n v="0.15741146518082597"/>
    <x v="1"/>
  </r>
  <r>
    <s v="ORD00422"/>
    <s v="2025-09-24"/>
    <x v="6"/>
    <n v="2025"/>
    <x v="3"/>
    <s v="Chennai"/>
    <x v="0"/>
    <s v="Customer_6807"/>
    <x v="5"/>
    <x v="3"/>
    <n v="3"/>
    <n v="53286"/>
    <n v="39781"/>
    <n v="13505"/>
    <n v="0.25344368126712458"/>
    <x v="2"/>
  </r>
  <r>
    <s v="ORD00423"/>
    <s v="2025-11-08"/>
    <x v="11"/>
    <n v="2025"/>
    <x v="0"/>
    <s v="Bhubaneswar"/>
    <x v="3"/>
    <s v="Customer_5964"/>
    <x v="8"/>
    <x v="4"/>
    <n v="13"/>
    <n v="106340"/>
    <n v="81148"/>
    <n v="25192"/>
    <n v="0.23690050780515329"/>
    <x v="2"/>
  </r>
  <r>
    <s v="ORD00424"/>
    <s v="2025-11-19"/>
    <x v="11"/>
    <n v="2025"/>
    <x v="2"/>
    <s v="Delhi"/>
    <x v="7"/>
    <s v="Customer_1004"/>
    <x v="1"/>
    <x v="0"/>
    <n v="2"/>
    <n v="39718"/>
    <n v="27019"/>
    <n v="12699"/>
    <n v="0.31972909008509998"/>
    <x v="2"/>
  </r>
  <r>
    <s v="ORD00425"/>
    <s v="2025-01-11"/>
    <x v="5"/>
    <n v="2025"/>
    <x v="3"/>
    <s v="Chennai"/>
    <x v="4"/>
    <s v="Customer_4412"/>
    <x v="4"/>
    <x v="2"/>
    <n v="23"/>
    <n v="38961"/>
    <n v="20424"/>
    <n v="18537"/>
    <n v="0.4757834757834758"/>
    <x v="0"/>
  </r>
  <r>
    <s v="ORD00426"/>
    <s v="2025-06-10"/>
    <x v="9"/>
    <n v="2025"/>
    <x v="3"/>
    <s v="Chennai"/>
    <x v="4"/>
    <s v="Customer_4687"/>
    <x v="1"/>
    <x v="0"/>
    <n v="13"/>
    <n v="98232"/>
    <n v="79086"/>
    <n v="19146"/>
    <n v="0.19490593696555095"/>
    <x v="3"/>
  </r>
  <r>
    <s v="ORD00427"/>
    <s v="2025-10-10"/>
    <x v="7"/>
    <n v="2025"/>
    <x v="0"/>
    <s v="Bhubaneswar"/>
    <x v="5"/>
    <s v="Customer_7499"/>
    <x v="4"/>
    <x v="2"/>
    <n v="25"/>
    <n v="55011"/>
    <n v="45132"/>
    <n v="9879"/>
    <n v="0.1795822653651088"/>
    <x v="1"/>
  </r>
  <r>
    <s v="ORD00428"/>
    <s v="2025-04-02"/>
    <x v="8"/>
    <n v="2025"/>
    <x v="1"/>
    <s v="Mumbai"/>
    <x v="1"/>
    <s v="Customer_8100"/>
    <x v="6"/>
    <x v="2"/>
    <n v="5"/>
    <n v="88579"/>
    <n v="44248"/>
    <n v="44331"/>
    <n v="0.50046850833719048"/>
    <x v="1"/>
  </r>
  <r>
    <s v="ORD00429"/>
    <s v="2025-02-25"/>
    <x v="3"/>
    <n v="2025"/>
    <x v="0"/>
    <s v="Kolkata"/>
    <x v="6"/>
    <s v="Customer_5178"/>
    <x v="2"/>
    <x v="0"/>
    <n v="3"/>
    <n v="111408"/>
    <n v="56893"/>
    <n v="54515"/>
    <n v="0.48932751687491022"/>
    <x v="0"/>
  </r>
  <r>
    <s v="ORD00430"/>
    <s v="2025-05-22"/>
    <x v="4"/>
    <n v="2025"/>
    <x v="1"/>
    <s v="Mumbai"/>
    <x v="1"/>
    <s v="Customer_3749"/>
    <x v="0"/>
    <x v="0"/>
    <n v="13"/>
    <n v="20872"/>
    <n v="16759"/>
    <n v="4113"/>
    <n v="0.19705825986968187"/>
    <x v="2"/>
  </r>
  <r>
    <s v="ORD00431"/>
    <s v="2025-04-02"/>
    <x v="8"/>
    <n v="2025"/>
    <x v="3"/>
    <s v="Chennai"/>
    <x v="2"/>
    <s v="Customer_5541"/>
    <x v="5"/>
    <x v="3"/>
    <n v="1"/>
    <n v="54291"/>
    <n v="32219"/>
    <n v="22072"/>
    <n v="0.40654988856348195"/>
    <x v="0"/>
  </r>
  <r>
    <s v="ORD00432"/>
    <s v="2025-08-07"/>
    <x v="10"/>
    <n v="2025"/>
    <x v="1"/>
    <s v="Pune"/>
    <x v="3"/>
    <s v="Customer_8814"/>
    <x v="6"/>
    <x v="2"/>
    <n v="20"/>
    <n v="86721"/>
    <n v="51587"/>
    <n v="35134"/>
    <n v="0.40513831713195192"/>
    <x v="0"/>
  </r>
  <r>
    <s v="ORD00433"/>
    <s v="2025-09-06"/>
    <x v="6"/>
    <n v="2025"/>
    <x v="2"/>
    <s v="Chandigarh"/>
    <x v="7"/>
    <s v="Customer_3123"/>
    <x v="5"/>
    <x v="3"/>
    <n v="7"/>
    <n v="41772"/>
    <n v="35412"/>
    <n v="6360"/>
    <n v="0.15225509910945131"/>
    <x v="1"/>
  </r>
  <r>
    <s v="ORD00434"/>
    <s v="2025-09-09"/>
    <x v="6"/>
    <n v="2025"/>
    <x v="1"/>
    <s v="Pune"/>
    <x v="2"/>
    <s v="Customer_9035"/>
    <x v="1"/>
    <x v="0"/>
    <n v="15"/>
    <n v="76211"/>
    <n v="43469"/>
    <n v="32742"/>
    <n v="0.42962302029890698"/>
    <x v="2"/>
  </r>
  <r>
    <s v="ORD00435"/>
    <s v="2025-05-17"/>
    <x v="4"/>
    <n v="2025"/>
    <x v="3"/>
    <s v="Bangalore"/>
    <x v="0"/>
    <s v="Customer_6556"/>
    <x v="5"/>
    <x v="3"/>
    <n v="18"/>
    <n v="23735"/>
    <n v="19440"/>
    <n v="4295"/>
    <n v="0.1809563935116916"/>
    <x v="1"/>
  </r>
  <r>
    <s v="ORD00436"/>
    <s v="2025-07-25"/>
    <x v="0"/>
    <n v="2025"/>
    <x v="2"/>
    <s v="Delhi"/>
    <x v="1"/>
    <s v="Customer_8837"/>
    <x v="6"/>
    <x v="2"/>
    <n v="11"/>
    <n v="53769"/>
    <n v="28688"/>
    <n v="25081"/>
    <n v="0.46645836820472764"/>
    <x v="1"/>
  </r>
  <r>
    <s v="ORD00437"/>
    <s v="2025-07-23"/>
    <x v="0"/>
    <n v="2025"/>
    <x v="0"/>
    <s v="Bhubaneswar"/>
    <x v="2"/>
    <s v="Customer_8215"/>
    <x v="2"/>
    <x v="0"/>
    <n v="16"/>
    <n v="77967"/>
    <n v="46687"/>
    <n v="31280"/>
    <n v="0.40119537753151974"/>
    <x v="2"/>
  </r>
  <r>
    <s v="ORD00438"/>
    <s v="2025-06-13"/>
    <x v="9"/>
    <n v="2025"/>
    <x v="0"/>
    <s v="Kolkata"/>
    <x v="6"/>
    <s v="Customer_9224"/>
    <x v="2"/>
    <x v="0"/>
    <n v="21"/>
    <n v="25425"/>
    <n v="12087"/>
    <n v="13338"/>
    <n v="0.52460176991150442"/>
    <x v="1"/>
  </r>
  <r>
    <s v="ORD00439"/>
    <s v="2025-06-22"/>
    <x v="9"/>
    <n v="2025"/>
    <x v="3"/>
    <s v="Chennai"/>
    <x v="2"/>
    <s v="Customer_8863"/>
    <x v="4"/>
    <x v="2"/>
    <n v="21"/>
    <n v="104761"/>
    <n v="57772"/>
    <n v="46989"/>
    <n v="0.44853523734977713"/>
    <x v="2"/>
  </r>
  <r>
    <s v="ORD00440"/>
    <s v="2025-06-08"/>
    <x v="9"/>
    <n v="2025"/>
    <x v="1"/>
    <s v="Pune"/>
    <x v="4"/>
    <s v="Customer_9017"/>
    <x v="6"/>
    <x v="2"/>
    <n v="10"/>
    <n v="92844"/>
    <n v="59989"/>
    <n v="32855"/>
    <n v="0.35387316358623067"/>
    <x v="3"/>
  </r>
  <r>
    <s v="ORD00441"/>
    <s v="2025-07-11"/>
    <x v="0"/>
    <n v="2025"/>
    <x v="1"/>
    <s v="Mumbai"/>
    <x v="0"/>
    <s v="Customer_6843"/>
    <x v="8"/>
    <x v="4"/>
    <n v="12"/>
    <n v="76267"/>
    <n v="56627"/>
    <n v="19640"/>
    <n v="0.25751635700892916"/>
    <x v="0"/>
  </r>
  <r>
    <s v="ORD00442"/>
    <s v="2025-12-24"/>
    <x v="1"/>
    <n v="2025"/>
    <x v="3"/>
    <s v="Chennai"/>
    <x v="6"/>
    <s v="Customer_5813"/>
    <x v="8"/>
    <x v="4"/>
    <n v="24"/>
    <n v="85804"/>
    <n v="56740"/>
    <n v="29064"/>
    <n v="0.33872546734417974"/>
    <x v="1"/>
  </r>
  <r>
    <s v="ORD00443"/>
    <s v="2025-02-05"/>
    <x v="3"/>
    <n v="2025"/>
    <x v="3"/>
    <s v="Bangalore"/>
    <x v="5"/>
    <s v="Customer_5966"/>
    <x v="6"/>
    <x v="2"/>
    <n v="1"/>
    <n v="67529"/>
    <n v="37838"/>
    <n v="29691"/>
    <n v="0.43967776807001435"/>
    <x v="2"/>
  </r>
  <r>
    <s v="ORD00444"/>
    <s v="2025-06-12"/>
    <x v="9"/>
    <n v="2025"/>
    <x v="0"/>
    <s v="Kolkata"/>
    <x v="1"/>
    <s v="Customer_9481"/>
    <x v="6"/>
    <x v="2"/>
    <n v="4"/>
    <n v="61947"/>
    <n v="51651"/>
    <n v="10296"/>
    <n v="0.16620659596106349"/>
    <x v="3"/>
  </r>
  <r>
    <s v="ORD00445"/>
    <s v="2025-12-01"/>
    <x v="1"/>
    <n v="2025"/>
    <x v="0"/>
    <s v="Bhubaneswar"/>
    <x v="1"/>
    <s v="Customer_5833"/>
    <x v="8"/>
    <x v="4"/>
    <n v="24"/>
    <n v="47637"/>
    <n v="25614"/>
    <n v="22023"/>
    <n v="0.46230870961647458"/>
    <x v="0"/>
  </r>
  <r>
    <s v="ORD00446"/>
    <s v="2025-03-17"/>
    <x v="2"/>
    <n v="2025"/>
    <x v="1"/>
    <s v="Pune"/>
    <x v="4"/>
    <s v="Customer_6403"/>
    <x v="3"/>
    <x v="1"/>
    <n v="4"/>
    <n v="65857"/>
    <n v="29787"/>
    <n v="36070"/>
    <n v="0.54770183883262225"/>
    <x v="2"/>
  </r>
  <r>
    <s v="ORD00447"/>
    <s v="2025-07-23"/>
    <x v="0"/>
    <n v="2025"/>
    <x v="0"/>
    <s v="Kolkata"/>
    <x v="4"/>
    <s v="Customer_1869"/>
    <x v="8"/>
    <x v="4"/>
    <n v="25"/>
    <n v="44516"/>
    <n v="27931"/>
    <n v="16585"/>
    <n v="0.3725626740947075"/>
    <x v="0"/>
  </r>
  <r>
    <s v="ORD00448"/>
    <s v="2025-09-20"/>
    <x v="6"/>
    <n v="2025"/>
    <x v="0"/>
    <s v="Bhubaneswar"/>
    <x v="5"/>
    <s v="Customer_2583"/>
    <x v="5"/>
    <x v="3"/>
    <n v="24"/>
    <n v="37622"/>
    <n v="22760"/>
    <n v="14862"/>
    <n v="0.39503482005209717"/>
    <x v="0"/>
  </r>
  <r>
    <s v="ORD00449"/>
    <s v="2025-08-13"/>
    <x v="10"/>
    <n v="2025"/>
    <x v="2"/>
    <s v="Chandigarh"/>
    <x v="2"/>
    <s v="Customer_4998"/>
    <x v="1"/>
    <x v="0"/>
    <n v="14"/>
    <n v="54458"/>
    <n v="34958"/>
    <n v="19500"/>
    <n v="0.35807411215982959"/>
    <x v="1"/>
  </r>
  <r>
    <s v="ORD00450"/>
    <s v="2025-02-20"/>
    <x v="3"/>
    <n v="2025"/>
    <x v="0"/>
    <s v="Bhubaneswar"/>
    <x v="7"/>
    <s v="Customer_6172"/>
    <x v="7"/>
    <x v="0"/>
    <n v="3"/>
    <n v="9753"/>
    <n v="8074"/>
    <n v="1679"/>
    <n v="0.17215215831026351"/>
    <x v="2"/>
  </r>
  <r>
    <s v="ORD00451"/>
    <s v="2025-02-08"/>
    <x v="3"/>
    <n v="2025"/>
    <x v="1"/>
    <s v="Mumbai"/>
    <x v="0"/>
    <s v="Customer_7464"/>
    <x v="6"/>
    <x v="2"/>
    <n v="3"/>
    <n v="56093"/>
    <n v="26188"/>
    <n v="29905"/>
    <n v="0.53313247642308315"/>
    <x v="0"/>
  </r>
  <r>
    <s v="ORD00452"/>
    <s v="2025-07-11"/>
    <x v="0"/>
    <n v="2025"/>
    <x v="1"/>
    <s v="Mumbai"/>
    <x v="1"/>
    <s v="Customer_8292"/>
    <x v="3"/>
    <x v="1"/>
    <n v="14"/>
    <n v="32361"/>
    <n v="19008"/>
    <n v="13353"/>
    <n v="0.41262630944655604"/>
    <x v="0"/>
  </r>
  <r>
    <s v="ORD00453"/>
    <s v="2025-08-24"/>
    <x v="10"/>
    <n v="2025"/>
    <x v="1"/>
    <s v="Mumbai"/>
    <x v="4"/>
    <s v="Customer_8816"/>
    <x v="0"/>
    <x v="0"/>
    <n v="7"/>
    <n v="102146"/>
    <n v="69214"/>
    <n v="32932"/>
    <n v="0.32240126877214964"/>
    <x v="3"/>
  </r>
  <r>
    <s v="ORD00454"/>
    <s v="2025-03-11"/>
    <x v="2"/>
    <n v="2025"/>
    <x v="3"/>
    <s v="Bangalore"/>
    <x v="1"/>
    <s v="Customer_6066"/>
    <x v="2"/>
    <x v="0"/>
    <n v="23"/>
    <n v="68760"/>
    <n v="46696"/>
    <n v="22064"/>
    <n v="0.32088423502036068"/>
    <x v="2"/>
  </r>
  <r>
    <s v="ORD00455"/>
    <s v="2025-03-10"/>
    <x v="2"/>
    <n v="2025"/>
    <x v="1"/>
    <s v="Mumbai"/>
    <x v="3"/>
    <s v="Customer_5985"/>
    <x v="4"/>
    <x v="2"/>
    <n v="14"/>
    <n v="61275"/>
    <n v="35121"/>
    <n v="26154"/>
    <n v="0.42682986536107709"/>
    <x v="3"/>
  </r>
  <r>
    <s v="ORD00457"/>
    <s v="2025-05-20"/>
    <x v="4"/>
    <n v="2025"/>
    <x v="3"/>
    <s v="Chennai"/>
    <x v="0"/>
    <s v="Customer_4038"/>
    <x v="2"/>
    <x v="0"/>
    <n v="24"/>
    <n v="14479"/>
    <n v="10293"/>
    <n v="4186"/>
    <n v="0.28910836383728156"/>
    <x v="2"/>
  </r>
  <r>
    <s v="ORD00458"/>
    <s v="2025-03-22"/>
    <x v="2"/>
    <n v="2025"/>
    <x v="1"/>
    <s v="Pune"/>
    <x v="0"/>
    <s v="Customer_3334"/>
    <x v="4"/>
    <x v="2"/>
    <n v="18"/>
    <n v="98975"/>
    <n v="59567"/>
    <n v="39408"/>
    <n v="0.39816115180601164"/>
    <x v="0"/>
  </r>
  <r>
    <s v="ORD00459"/>
    <s v="2025-02-25"/>
    <x v="3"/>
    <n v="2025"/>
    <x v="1"/>
    <s v="Mumbai"/>
    <x v="1"/>
    <s v="Customer_2028"/>
    <x v="4"/>
    <x v="2"/>
    <n v="7"/>
    <n v="10100"/>
    <n v="5776"/>
    <n v="4324"/>
    <n v="0.42811881188118811"/>
    <x v="0"/>
  </r>
  <r>
    <s v="ORD00460"/>
    <s v="2025-07-18"/>
    <x v="0"/>
    <n v="2025"/>
    <x v="3"/>
    <s v="Bangalore"/>
    <x v="2"/>
    <s v="Customer_4997"/>
    <x v="7"/>
    <x v="0"/>
    <n v="1"/>
    <n v="36954"/>
    <n v="23523"/>
    <n v="13431"/>
    <n v="0.36345185906803051"/>
    <x v="0"/>
  </r>
  <r>
    <s v="ORD00461"/>
    <s v="2025-04-26"/>
    <x v="8"/>
    <n v="2025"/>
    <x v="1"/>
    <s v="Mumbai"/>
    <x v="7"/>
    <s v="Customer_5473"/>
    <x v="1"/>
    <x v="0"/>
    <n v="2"/>
    <n v="51620"/>
    <n v="27682"/>
    <n v="23938"/>
    <n v="0.46373498643936456"/>
    <x v="0"/>
  </r>
  <r>
    <s v="ORD00462"/>
    <s v="2025-01-02"/>
    <x v="5"/>
    <n v="2025"/>
    <x v="3"/>
    <s v="Bangalore"/>
    <x v="1"/>
    <s v="Customer_2129"/>
    <x v="2"/>
    <x v="0"/>
    <n v="1"/>
    <n v="16970"/>
    <n v="13067"/>
    <n v="3903"/>
    <n v="0.22999410724808486"/>
    <x v="1"/>
  </r>
  <r>
    <s v="ORD00463"/>
    <s v="2025-07-04"/>
    <x v="0"/>
    <n v="2025"/>
    <x v="1"/>
    <s v="Pune"/>
    <x v="3"/>
    <s v="Customer_8773"/>
    <x v="4"/>
    <x v="2"/>
    <n v="20"/>
    <n v="107005"/>
    <n v="63802"/>
    <n v="43203"/>
    <n v="0.40374748843511987"/>
    <x v="0"/>
  </r>
  <r>
    <s v="ORD00464"/>
    <s v="2025-08-13"/>
    <x v="10"/>
    <n v="2025"/>
    <x v="1"/>
    <s v="Mumbai"/>
    <x v="2"/>
    <s v="Customer_5644"/>
    <x v="7"/>
    <x v="0"/>
    <n v="3"/>
    <n v="108320"/>
    <n v="82808"/>
    <n v="25512"/>
    <n v="0.23552437223042835"/>
    <x v="0"/>
  </r>
  <r>
    <s v="ORD00465"/>
    <s v="2025-11-18"/>
    <x v="11"/>
    <n v="2025"/>
    <x v="2"/>
    <s v="Delhi"/>
    <x v="4"/>
    <s v="Customer_9373"/>
    <x v="4"/>
    <x v="2"/>
    <n v="5"/>
    <n v="117726"/>
    <n v="63786"/>
    <n v="53940"/>
    <n v="0.45818255950257375"/>
    <x v="3"/>
  </r>
  <r>
    <s v="ORD00467"/>
    <s v="2025-08-03"/>
    <x v="10"/>
    <n v="2025"/>
    <x v="1"/>
    <s v="Mumbai"/>
    <x v="7"/>
    <s v="Customer_5682"/>
    <x v="3"/>
    <x v="1"/>
    <n v="19"/>
    <n v="63129"/>
    <n v="40878"/>
    <n v="22251"/>
    <n v="0.35246875445516324"/>
    <x v="2"/>
  </r>
  <r>
    <s v="ORD00468"/>
    <s v="2025-04-17"/>
    <x v="8"/>
    <n v="2025"/>
    <x v="1"/>
    <s v="Mumbai"/>
    <x v="4"/>
    <s v="Customer_9299"/>
    <x v="2"/>
    <x v="0"/>
    <n v="5"/>
    <n v="98339"/>
    <n v="58200"/>
    <n v="40139"/>
    <n v="0.40816969869532943"/>
    <x v="0"/>
  </r>
  <r>
    <s v="ORD00469"/>
    <s v="2025-05-28"/>
    <x v="4"/>
    <n v="2025"/>
    <x v="0"/>
    <s v="Kolkata"/>
    <x v="5"/>
    <s v="Customer_1396"/>
    <x v="0"/>
    <x v="0"/>
    <n v="18"/>
    <n v="86510"/>
    <n v="68335"/>
    <n v="18175"/>
    <n v="0.21009131892266791"/>
    <x v="2"/>
  </r>
  <r>
    <s v="ORD00470"/>
    <s v="2025-07-31"/>
    <x v="0"/>
    <n v="2025"/>
    <x v="0"/>
    <s v="Bhubaneswar"/>
    <x v="4"/>
    <s v="Customer_3087"/>
    <x v="6"/>
    <x v="2"/>
    <n v="13"/>
    <n v="98489"/>
    <n v="45281"/>
    <n v="53208"/>
    <n v="0.54024307283046835"/>
    <x v="2"/>
  </r>
  <r>
    <s v="ORD00471"/>
    <s v="2025-07-31"/>
    <x v="0"/>
    <n v="2025"/>
    <x v="2"/>
    <s v="Chandigarh"/>
    <x v="6"/>
    <s v="Customer_9311"/>
    <x v="8"/>
    <x v="4"/>
    <n v="10"/>
    <n v="20101"/>
    <n v="16734"/>
    <n v="3367"/>
    <n v="0.16750410427341925"/>
    <x v="3"/>
  </r>
  <r>
    <s v="ORD00472"/>
    <s v="2025-11-26"/>
    <x v="11"/>
    <n v="2025"/>
    <x v="1"/>
    <s v="Pune"/>
    <x v="5"/>
    <s v="Customer_3426"/>
    <x v="4"/>
    <x v="2"/>
    <n v="5"/>
    <n v="20160"/>
    <n v="11909"/>
    <n v="8251"/>
    <n v="0.40927579365079364"/>
    <x v="3"/>
  </r>
  <r>
    <s v="ORD00473"/>
    <s v="2025-01-12"/>
    <x v="5"/>
    <n v="2025"/>
    <x v="1"/>
    <s v="Mumbai"/>
    <x v="2"/>
    <s v="Customer_5807"/>
    <x v="7"/>
    <x v="0"/>
    <n v="12"/>
    <n v="7691"/>
    <n v="5390"/>
    <n v="2301"/>
    <n v="0.29918086074632688"/>
    <x v="3"/>
  </r>
  <r>
    <s v="ORD00474"/>
    <s v="2025-02-11"/>
    <x v="3"/>
    <n v="2025"/>
    <x v="2"/>
    <s v="Chandigarh"/>
    <x v="0"/>
    <s v="Customer_6595"/>
    <x v="6"/>
    <x v="2"/>
    <n v="20"/>
    <n v="23608"/>
    <n v="15498"/>
    <n v="8110"/>
    <n v="0.34352761775669266"/>
    <x v="1"/>
  </r>
  <r>
    <s v="ORD00475"/>
    <s v="2025-05-13"/>
    <x v="4"/>
    <n v="2025"/>
    <x v="0"/>
    <s v="Bhubaneswar"/>
    <x v="6"/>
    <s v="Customer_9383"/>
    <x v="7"/>
    <x v="0"/>
    <n v="24"/>
    <n v="68697"/>
    <n v="40286"/>
    <n v="28411"/>
    <n v="0.41356973375838829"/>
    <x v="2"/>
  </r>
  <r>
    <s v="ORD00476"/>
    <s v="2025-09-05"/>
    <x v="6"/>
    <n v="2025"/>
    <x v="2"/>
    <s v="Delhi"/>
    <x v="1"/>
    <s v="Customer_9987"/>
    <x v="4"/>
    <x v="2"/>
    <n v="19"/>
    <n v="116020"/>
    <n v="94987"/>
    <n v="21033"/>
    <n v="0.18128770901568694"/>
    <x v="1"/>
  </r>
  <r>
    <s v="ORD00477"/>
    <s v="2025-01-01"/>
    <x v="5"/>
    <n v="2025"/>
    <x v="1"/>
    <s v="Mumbai"/>
    <x v="6"/>
    <s v="Customer_6805"/>
    <x v="7"/>
    <x v="0"/>
    <n v="14"/>
    <n v="92428"/>
    <n v="52042"/>
    <n v="40386"/>
    <n v="0.43694551434630197"/>
    <x v="0"/>
  </r>
  <r>
    <s v="ORD00478"/>
    <s v="2025-08-30"/>
    <x v="10"/>
    <n v="2025"/>
    <x v="1"/>
    <s v="Pune"/>
    <x v="6"/>
    <s v="Customer_2989"/>
    <x v="6"/>
    <x v="2"/>
    <n v="24"/>
    <n v="98143"/>
    <n v="68980"/>
    <n v="29163"/>
    <n v="0.29714803908582377"/>
    <x v="2"/>
  </r>
  <r>
    <s v="ORD00479"/>
    <s v="2025-10-30"/>
    <x v="7"/>
    <n v="2025"/>
    <x v="0"/>
    <s v="Bhubaneswar"/>
    <x v="1"/>
    <s v="Customer_3252"/>
    <x v="3"/>
    <x v="1"/>
    <n v="20"/>
    <n v="8190"/>
    <n v="4778"/>
    <n v="3412"/>
    <n v="0.41660561660561662"/>
    <x v="1"/>
  </r>
  <r>
    <s v="ORD00480"/>
    <s v="2025-07-10"/>
    <x v="0"/>
    <n v="2025"/>
    <x v="0"/>
    <s v="Bhubaneswar"/>
    <x v="6"/>
    <s v="Customer_6480"/>
    <x v="6"/>
    <x v="2"/>
    <n v="18"/>
    <n v="49690"/>
    <n v="33692"/>
    <n v="15998"/>
    <n v="0.32195612799356005"/>
    <x v="2"/>
  </r>
  <r>
    <s v="ORD00481"/>
    <s v="2025-09-27"/>
    <x v="6"/>
    <n v="2025"/>
    <x v="1"/>
    <s v="Mumbai"/>
    <x v="5"/>
    <s v="Customer_6405"/>
    <x v="4"/>
    <x v="2"/>
    <n v="12"/>
    <n v="37030"/>
    <n v="28577"/>
    <n v="8453"/>
    <n v="0.22827437213070484"/>
    <x v="2"/>
  </r>
  <r>
    <s v="ORD00483"/>
    <s v="2025-04-07"/>
    <x v="8"/>
    <n v="2025"/>
    <x v="0"/>
    <s v="Bhubaneswar"/>
    <x v="6"/>
    <s v="Customer_7829"/>
    <x v="0"/>
    <x v="0"/>
    <n v="3"/>
    <n v="39229"/>
    <n v="32114"/>
    <n v="7115"/>
    <n v="0.18137092457110812"/>
    <x v="0"/>
  </r>
  <r>
    <s v="ORD00484"/>
    <s v="2025-08-01"/>
    <x v="10"/>
    <n v="2025"/>
    <x v="0"/>
    <s v="Bhubaneswar"/>
    <x v="7"/>
    <s v="Customer_9557"/>
    <x v="6"/>
    <x v="2"/>
    <n v="21"/>
    <n v="26391"/>
    <n v="18730"/>
    <n v="7661"/>
    <n v="0.29028835587889812"/>
    <x v="2"/>
  </r>
  <r>
    <s v="ORD00485"/>
    <s v="2025-04-29"/>
    <x v="8"/>
    <n v="2025"/>
    <x v="3"/>
    <s v="Chennai"/>
    <x v="0"/>
    <s v="Customer_5343"/>
    <x v="1"/>
    <x v="0"/>
    <n v="16"/>
    <n v="45533"/>
    <n v="35446"/>
    <n v="10087"/>
    <n v="0.22153163639558124"/>
    <x v="1"/>
  </r>
  <r>
    <s v="ORD00486"/>
    <s v="2025-09-06"/>
    <x v="6"/>
    <n v="2025"/>
    <x v="1"/>
    <s v="Mumbai"/>
    <x v="0"/>
    <s v="Customer_7644"/>
    <x v="4"/>
    <x v="2"/>
    <n v="8"/>
    <n v="91471"/>
    <n v="49818"/>
    <n v="41653"/>
    <n v="0.45536836811667086"/>
    <x v="1"/>
  </r>
  <r>
    <s v="ORD00487"/>
    <s v="2025-01-01"/>
    <x v="5"/>
    <n v="2025"/>
    <x v="1"/>
    <s v="Pune"/>
    <x v="7"/>
    <s v="Customer_9282"/>
    <x v="8"/>
    <x v="4"/>
    <n v="7"/>
    <n v="80283"/>
    <n v="63764"/>
    <n v="16519"/>
    <n v="0.20575962532541137"/>
    <x v="1"/>
  </r>
  <r>
    <s v="ORD00488"/>
    <s v="2025-08-02"/>
    <x v="10"/>
    <n v="2025"/>
    <x v="1"/>
    <s v="Pune"/>
    <x v="3"/>
    <s v="Customer_9467"/>
    <x v="0"/>
    <x v="0"/>
    <n v="8"/>
    <n v="70686"/>
    <n v="53351"/>
    <n v="17335"/>
    <n v="0.24523950994539229"/>
    <x v="0"/>
  </r>
  <r>
    <s v="ORD00489"/>
    <s v="2025-10-14"/>
    <x v="7"/>
    <n v="2025"/>
    <x v="3"/>
    <s v="Chennai"/>
    <x v="2"/>
    <s v="Customer_9685"/>
    <x v="7"/>
    <x v="0"/>
    <n v="6"/>
    <n v="93036"/>
    <n v="77807"/>
    <n v="15229"/>
    <n v="0.16368932456253493"/>
    <x v="3"/>
  </r>
  <r>
    <s v="ORD00490"/>
    <s v="2025-04-26"/>
    <x v="8"/>
    <n v="2025"/>
    <x v="0"/>
    <s v="Bhubaneswar"/>
    <x v="7"/>
    <s v="Customer_1920"/>
    <x v="5"/>
    <x v="3"/>
    <n v="2"/>
    <n v="87838"/>
    <n v="65466"/>
    <n v="22372"/>
    <n v="0.25469614517634737"/>
    <x v="2"/>
  </r>
  <r>
    <s v="ORD00491"/>
    <s v="2025-06-01"/>
    <x v="9"/>
    <n v="2025"/>
    <x v="3"/>
    <s v="Chennai"/>
    <x v="7"/>
    <s v="Customer_6109"/>
    <x v="8"/>
    <x v="4"/>
    <n v="16"/>
    <n v="46536"/>
    <n v="34754"/>
    <n v="11782"/>
    <n v="0.25318033350524327"/>
    <x v="1"/>
  </r>
  <r>
    <s v="ORD00492"/>
    <s v="2025-12-09"/>
    <x v="1"/>
    <n v="2025"/>
    <x v="0"/>
    <s v="Bhubaneswar"/>
    <x v="1"/>
    <s v="Customer_4588"/>
    <x v="6"/>
    <x v="2"/>
    <n v="9"/>
    <n v="52613"/>
    <n v="38128"/>
    <n v="14485"/>
    <n v="0.27531218520137607"/>
    <x v="1"/>
  </r>
  <r>
    <s v="ORD00493"/>
    <s v="2025-01-15"/>
    <x v="5"/>
    <n v="2025"/>
    <x v="3"/>
    <s v="Bangalore"/>
    <x v="7"/>
    <s v="Customer_7806"/>
    <x v="2"/>
    <x v="0"/>
    <n v="7"/>
    <n v="91993"/>
    <n v="51160"/>
    <n v="40833"/>
    <n v="0.44387072929462024"/>
    <x v="3"/>
  </r>
  <r>
    <s v="ORD00494"/>
    <s v="2025-04-05"/>
    <x v="8"/>
    <n v="2025"/>
    <x v="0"/>
    <s v="Bhubaneswar"/>
    <x v="5"/>
    <s v="Customer_2959"/>
    <x v="4"/>
    <x v="2"/>
    <n v="14"/>
    <n v="4108"/>
    <n v="3329"/>
    <n v="779"/>
    <n v="0.18962999026290164"/>
    <x v="1"/>
  </r>
  <r>
    <s v="ORD00495"/>
    <s v="2025-10-08"/>
    <x v="7"/>
    <n v="2025"/>
    <x v="3"/>
    <s v="Chennai"/>
    <x v="7"/>
    <s v="Customer_8214"/>
    <x v="1"/>
    <x v="0"/>
    <n v="24"/>
    <n v="90999"/>
    <n v="71606"/>
    <n v="19393"/>
    <n v="0.21311223200254947"/>
    <x v="2"/>
  </r>
  <r>
    <s v="ORD00496"/>
    <s v="2025-07-21"/>
    <x v="0"/>
    <n v="2025"/>
    <x v="2"/>
    <s v="Delhi"/>
    <x v="2"/>
    <s v="Customer_5307"/>
    <x v="7"/>
    <x v="0"/>
    <n v="8"/>
    <n v="25089"/>
    <n v="18471"/>
    <n v="6618"/>
    <n v="0.26378093985411932"/>
    <x v="1"/>
  </r>
  <r>
    <s v="ORD00497"/>
    <s v="2025-03-27"/>
    <x v="2"/>
    <n v="2025"/>
    <x v="3"/>
    <s v="Bangalore"/>
    <x v="0"/>
    <s v="Customer_4765"/>
    <x v="1"/>
    <x v="0"/>
    <n v="14"/>
    <n v="43305"/>
    <n v="35866"/>
    <n v="7439"/>
    <n v="0.17178154947465651"/>
    <x v="2"/>
  </r>
  <r>
    <s v="ORD00498"/>
    <s v="2025-10-17"/>
    <x v="7"/>
    <n v="2025"/>
    <x v="1"/>
    <s v="Pune"/>
    <x v="0"/>
    <s v="Customer_3489"/>
    <x v="3"/>
    <x v="1"/>
    <n v="15"/>
    <n v="117647"/>
    <n v="67214"/>
    <n v="50433"/>
    <n v="0.42868071434035715"/>
    <x v="2"/>
  </r>
  <r>
    <s v="ORD00499"/>
    <s v="2025-01-12"/>
    <x v="5"/>
    <n v="2025"/>
    <x v="0"/>
    <s v="Kolkata"/>
    <x v="1"/>
    <s v="Customer_7144"/>
    <x v="6"/>
    <x v="2"/>
    <n v="19"/>
    <n v="33427"/>
    <n v="17660"/>
    <n v="15767"/>
    <n v="0.47168456636850448"/>
    <x v="1"/>
  </r>
  <r>
    <s v="ORD00500"/>
    <s v="2025-07-05"/>
    <x v="0"/>
    <n v="2025"/>
    <x v="2"/>
    <s v="Delhi"/>
    <x v="0"/>
    <s v="Customer_4217"/>
    <x v="5"/>
    <x v="3"/>
    <n v="13"/>
    <n v="99019"/>
    <n v="75182"/>
    <n v="23837"/>
    <n v="0.24073157676809501"/>
    <x v="0"/>
  </r>
  <r>
    <s v="ORD00501"/>
    <s v="2025-03-18"/>
    <x v="2"/>
    <n v="2025"/>
    <x v="0"/>
    <s v="Bhubaneswar"/>
    <x v="5"/>
    <s v="Customer_5567"/>
    <x v="0"/>
    <x v="0"/>
    <n v="6"/>
    <n v="119081"/>
    <n v="93875"/>
    <n v="25206"/>
    <n v="0.21167104743829829"/>
    <x v="3"/>
  </r>
  <r>
    <s v="ORD00502"/>
    <s v="2025-09-18"/>
    <x v="6"/>
    <n v="2025"/>
    <x v="1"/>
    <s v="Pune"/>
    <x v="0"/>
    <s v="Customer_3269"/>
    <x v="4"/>
    <x v="2"/>
    <n v="22"/>
    <n v="23345"/>
    <n v="12218"/>
    <n v="11127"/>
    <n v="0.47663311201542086"/>
    <x v="2"/>
  </r>
  <r>
    <s v="ORD00503"/>
    <s v="2025-01-06"/>
    <x v="5"/>
    <n v="2025"/>
    <x v="0"/>
    <s v="Bhubaneswar"/>
    <x v="7"/>
    <s v="Customer_7699"/>
    <x v="7"/>
    <x v="0"/>
    <n v="19"/>
    <n v="42002"/>
    <n v="25139"/>
    <n v="16863"/>
    <n v="0.40148088186276842"/>
    <x v="0"/>
  </r>
  <r>
    <s v="ORD00504"/>
    <s v="2025-09-29"/>
    <x v="6"/>
    <n v="2025"/>
    <x v="2"/>
    <s v="Delhi"/>
    <x v="2"/>
    <s v="Customer_4564"/>
    <x v="1"/>
    <x v="0"/>
    <n v="3"/>
    <n v="15065"/>
    <n v="10019"/>
    <n v="5046"/>
    <n v="0.33494855625622305"/>
    <x v="1"/>
  </r>
  <r>
    <s v="ORD00505"/>
    <s v="2025-02-17"/>
    <x v="3"/>
    <n v="2025"/>
    <x v="2"/>
    <s v="Chandigarh"/>
    <x v="6"/>
    <s v="Customer_6631"/>
    <x v="1"/>
    <x v="0"/>
    <n v="10"/>
    <n v="75527"/>
    <n v="59602"/>
    <n v="15925"/>
    <n v="0.21085174838137355"/>
    <x v="1"/>
  </r>
  <r>
    <s v="ORD00506"/>
    <s v="2025-09-23"/>
    <x v="6"/>
    <n v="2025"/>
    <x v="2"/>
    <s v="Delhi"/>
    <x v="4"/>
    <s v="Customer_1651"/>
    <x v="4"/>
    <x v="2"/>
    <n v="1"/>
    <n v="78118"/>
    <n v="60113"/>
    <n v="18005"/>
    <n v="0.23048465142476765"/>
    <x v="0"/>
  </r>
  <r>
    <s v="ORD00507"/>
    <s v="2025-05-24"/>
    <x v="4"/>
    <n v="2025"/>
    <x v="1"/>
    <s v="Mumbai"/>
    <x v="4"/>
    <s v="Customer_8527"/>
    <x v="6"/>
    <x v="2"/>
    <n v="20"/>
    <n v="78471"/>
    <n v="51832"/>
    <n v="26639"/>
    <n v="0.33947572988747438"/>
    <x v="1"/>
  </r>
  <r>
    <s v="ORD00508"/>
    <s v="2025-04-20"/>
    <x v="8"/>
    <n v="2025"/>
    <x v="0"/>
    <s v="Bhubaneswar"/>
    <x v="0"/>
    <s v="Customer_1957"/>
    <x v="8"/>
    <x v="4"/>
    <n v="8"/>
    <n v="108326"/>
    <n v="50373"/>
    <n v="57953"/>
    <n v="0.53498698373428355"/>
    <x v="1"/>
  </r>
  <r>
    <s v="ORD00509"/>
    <s v="2025-09-05"/>
    <x v="6"/>
    <n v="2025"/>
    <x v="0"/>
    <s v="Bhubaneswar"/>
    <x v="1"/>
    <s v="Customer_1346"/>
    <x v="1"/>
    <x v="0"/>
    <n v="25"/>
    <n v="65549"/>
    <n v="48307"/>
    <n v="17242"/>
    <n v="0.26303986330836471"/>
    <x v="3"/>
  </r>
  <r>
    <s v="ORD00510"/>
    <s v="2025-08-19"/>
    <x v="10"/>
    <n v="2025"/>
    <x v="3"/>
    <s v="Bangalore"/>
    <x v="1"/>
    <s v="Customer_4567"/>
    <x v="8"/>
    <x v="4"/>
    <n v="25"/>
    <n v="74549"/>
    <n v="34042"/>
    <n v="40507"/>
    <n v="0.54336074259882761"/>
    <x v="2"/>
  </r>
  <r>
    <s v="ORD00511"/>
    <s v="2025-09-20"/>
    <x v="6"/>
    <n v="2025"/>
    <x v="3"/>
    <s v="Chennai"/>
    <x v="0"/>
    <s v="Customer_1075"/>
    <x v="7"/>
    <x v="0"/>
    <n v="19"/>
    <n v="31616"/>
    <n v="16450"/>
    <n v="15166"/>
    <n v="0.47969382591093118"/>
    <x v="2"/>
  </r>
  <r>
    <s v="ORD00512"/>
    <s v="2025-03-17"/>
    <x v="2"/>
    <n v="2025"/>
    <x v="1"/>
    <s v="Pune"/>
    <x v="2"/>
    <s v="Customer_6418"/>
    <x v="0"/>
    <x v="0"/>
    <n v="12"/>
    <n v="9767"/>
    <n v="7640"/>
    <n v="2127"/>
    <n v="0.21777413740145388"/>
    <x v="3"/>
  </r>
  <r>
    <s v="ORD00513"/>
    <s v="2025-01-20"/>
    <x v="5"/>
    <n v="2025"/>
    <x v="0"/>
    <s v="Bhubaneswar"/>
    <x v="0"/>
    <s v="Customer_3691"/>
    <x v="2"/>
    <x v="0"/>
    <n v="24"/>
    <n v="95407"/>
    <n v="57050"/>
    <n v="38357"/>
    <n v="0.40203549005838146"/>
    <x v="1"/>
  </r>
  <r>
    <s v="ORD00514"/>
    <s v="2025-11-20"/>
    <x v="11"/>
    <n v="2025"/>
    <x v="0"/>
    <s v="Kolkata"/>
    <x v="6"/>
    <s v="Customer_4773"/>
    <x v="8"/>
    <x v="4"/>
    <n v="5"/>
    <n v="99835"/>
    <n v="54458"/>
    <n v="45377"/>
    <n v="0.45451995793058547"/>
    <x v="1"/>
  </r>
  <r>
    <s v="ORD00516"/>
    <s v="2025-09-26"/>
    <x v="6"/>
    <n v="2025"/>
    <x v="2"/>
    <s v="Chandigarh"/>
    <x v="4"/>
    <s v="Customer_6687"/>
    <x v="1"/>
    <x v="0"/>
    <n v="7"/>
    <n v="105392"/>
    <n v="85010"/>
    <n v="20382"/>
    <n v="0.19339228783968423"/>
    <x v="2"/>
  </r>
  <r>
    <s v="ORD00517"/>
    <s v="2025-05-27"/>
    <x v="4"/>
    <n v="2025"/>
    <x v="1"/>
    <s v="Pune"/>
    <x v="6"/>
    <s v="Customer_3975"/>
    <x v="7"/>
    <x v="0"/>
    <n v="13"/>
    <n v="88847"/>
    <n v="62439"/>
    <n v="26408"/>
    <n v="0.29723006967033216"/>
    <x v="1"/>
  </r>
  <r>
    <s v="ORD00518"/>
    <s v="2025-01-08"/>
    <x v="5"/>
    <n v="2025"/>
    <x v="2"/>
    <s v="Chandigarh"/>
    <x v="7"/>
    <s v="Customer_9838"/>
    <x v="1"/>
    <x v="0"/>
    <n v="16"/>
    <n v="92136"/>
    <n v="59964"/>
    <n v="32172"/>
    <n v="0.34917947382130765"/>
    <x v="2"/>
  </r>
  <r>
    <s v="ORD00519"/>
    <s v="2025-12-09"/>
    <x v="1"/>
    <n v="2025"/>
    <x v="0"/>
    <s v="Bhubaneswar"/>
    <x v="5"/>
    <s v="Customer_7749"/>
    <x v="5"/>
    <x v="3"/>
    <n v="11"/>
    <n v="92638"/>
    <n v="68371"/>
    <n v="24267"/>
    <n v="0.26195513720071678"/>
    <x v="2"/>
  </r>
  <r>
    <s v="ORD00520"/>
    <s v="2025-11-07"/>
    <x v="11"/>
    <n v="2025"/>
    <x v="1"/>
    <s v="Mumbai"/>
    <x v="1"/>
    <s v="Customer_8233"/>
    <x v="3"/>
    <x v="1"/>
    <n v="9"/>
    <n v="67375"/>
    <n v="35173"/>
    <n v="32202"/>
    <n v="0.4779517625231911"/>
    <x v="1"/>
  </r>
  <r>
    <s v="ORD00521"/>
    <s v="2025-01-12"/>
    <x v="5"/>
    <n v="2025"/>
    <x v="3"/>
    <s v="Bangalore"/>
    <x v="0"/>
    <s v="Customer_8436"/>
    <x v="6"/>
    <x v="2"/>
    <n v="24"/>
    <n v="45639"/>
    <n v="27374"/>
    <n v="18265"/>
    <n v="0.40020596419728743"/>
    <x v="3"/>
  </r>
  <r>
    <s v="ORD00522"/>
    <s v="2025-11-21"/>
    <x v="11"/>
    <n v="2025"/>
    <x v="1"/>
    <s v="Mumbai"/>
    <x v="5"/>
    <s v="Customer_4808"/>
    <x v="0"/>
    <x v="0"/>
    <n v="13"/>
    <n v="110972"/>
    <n v="83832"/>
    <n v="27140"/>
    <n v="0.24456619687849188"/>
    <x v="3"/>
  </r>
  <r>
    <s v="ORD00523"/>
    <s v="2025-10-24"/>
    <x v="7"/>
    <n v="2025"/>
    <x v="2"/>
    <s v="Delhi"/>
    <x v="2"/>
    <s v="Customer_2420"/>
    <x v="4"/>
    <x v="2"/>
    <n v="14"/>
    <n v="81548"/>
    <n v="63853"/>
    <n v="17695"/>
    <n v="0.21698876735174377"/>
    <x v="2"/>
  </r>
  <r>
    <s v="ORD00524"/>
    <s v="2025-06-14"/>
    <x v="9"/>
    <n v="2025"/>
    <x v="0"/>
    <s v="Bhubaneswar"/>
    <x v="1"/>
    <s v="Customer_2700"/>
    <x v="6"/>
    <x v="2"/>
    <n v="15"/>
    <n v="93597"/>
    <n v="52661"/>
    <n v="40936"/>
    <n v="0.43736444544162739"/>
    <x v="0"/>
  </r>
  <r>
    <s v="ORD00525"/>
    <s v="2025-05-08"/>
    <x v="4"/>
    <n v="2025"/>
    <x v="3"/>
    <s v="Bangalore"/>
    <x v="6"/>
    <s v="Customer_6169"/>
    <x v="4"/>
    <x v="2"/>
    <n v="25"/>
    <n v="45724"/>
    <n v="32485"/>
    <n v="13239"/>
    <n v="0.28954159741055024"/>
    <x v="1"/>
  </r>
  <r>
    <s v="ORD00526"/>
    <s v="2025-09-29"/>
    <x v="6"/>
    <n v="2025"/>
    <x v="1"/>
    <s v="Mumbai"/>
    <x v="3"/>
    <s v="Customer_2887"/>
    <x v="6"/>
    <x v="2"/>
    <n v="16"/>
    <n v="27984"/>
    <n v="22482"/>
    <n v="5502"/>
    <n v="0.19661234991423671"/>
    <x v="1"/>
  </r>
  <r>
    <s v="ORD00527"/>
    <s v="2025-10-26"/>
    <x v="7"/>
    <n v="2025"/>
    <x v="1"/>
    <s v="Mumbai"/>
    <x v="4"/>
    <s v="Customer_8970"/>
    <x v="2"/>
    <x v="0"/>
    <n v="7"/>
    <n v="104025"/>
    <n v="62937"/>
    <n v="41088"/>
    <n v="0.39498197548666186"/>
    <x v="1"/>
  </r>
  <r>
    <s v="ORD00528"/>
    <s v="2025-03-17"/>
    <x v="2"/>
    <n v="2025"/>
    <x v="1"/>
    <s v="Mumbai"/>
    <x v="1"/>
    <s v="Customer_7314"/>
    <x v="4"/>
    <x v="2"/>
    <n v="12"/>
    <n v="66055"/>
    <n v="33919"/>
    <n v="32136"/>
    <n v="0.486503671183105"/>
    <x v="0"/>
  </r>
  <r>
    <s v="ORD00529"/>
    <s v="2025-04-02"/>
    <x v="8"/>
    <n v="2025"/>
    <x v="2"/>
    <s v="Chandigarh"/>
    <x v="0"/>
    <s v="Customer_3852"/>
    <x v="4"/>
    <x v="2"/>
    <n v="18"/>
    <n v="96714"/>
    <n v="48251"/>
    <n v="48463"/>
    <n v="0.50109601505469736"/>
    <x v="0"/>
  </r>
  <r>
    <s v="ORD00530"/>
    <s v="2025-12-15"/>
    <x v="1"/>
    <n v="2025"/>
    <x v="0"/>
    <s v="Kolkata"/>
    <x v="3"/>
    <s v="Customer_4054"/>
    <x v="0"/>
    <x v="0"/>
    <n v="14"/>
    <n v="113896"/>
    <n v="88927"/>
    <n v="24969"/>
    <n v="0.21922631172297535"/>
    <x v="2"/>
  </r>
  <r>
    <s v="ORD00531"/>
    <s v="2025-01-25"/>
    <x v="5"/>
    <n v="2025"/>
    <x v="3"/>
    <s v="Chennai"/>
    <x v="6"/>
    <s v="Customer_8505"/>
    <x v="6"/>
    <x v="2"/>
    <n v="12"/>
    <n v="45973"/>
    <n v="23831"/>
    <n v="22142"/>
    <n v="0.48163052226306746"/>
    <x v="2"/>
  </r>
  <r>
    <s v="ORD00532"/>
    <s v="2025-08-24"/>
    <x v="10"/>
    <n v="2025"/>
    <x v="0"/>
    <s v="Bhubaneswar"/>
    <x v="6"/>
    <s v="Customer_1066"/>
    <x v="4"/>
    <x v="2"/>
    <n v="16"/>
    <n v="89017"/>
    <n v="52550"/>
    <n v="36467"/>
    <n v="0.40966332273610656"/>
    <x v="0"/>
  </r>
  <r>
    <s v="ORD00533"/>
    <s v="2025-07-01"/>
    <x v="0"/>
    <n v="2025"/>
    <x v="0"/>
    <s v="Kolkata"/>
    <x v="4"/>
    <s v="Customer_2824"/>
    <x v="0"/>
    <x v="0"/>
    <n v="6"/>
    <n v="89222"/>
    <n v="55812"/>
    <n v="33410"/>
    <n v="0.37445921409517829"/>
    <x v="0"/>
  </r>
  <r>
    <s v="ORD00534"/>
    <s v="2025-12-12"/>
    <x v="1"/>
    <n v="2025"/>
    <x v="2"/>
    <s v="Delhi"/>
    <x v="1"/>
    <s v="Customer_8273"/>
    <x v="3"/>
    <x v="1"/>
    <n v="13"/>
    <n v="53644"/>
    <n v="29265"/>
    <n v="24379"/>
    <n v="0.45445902617254491"/>
    <x v="1"/>
  </r>
  <r>
    <s v="ORD00535"/>
    <s v="2025-07-08"/>
    <x v="0"/>
    <n v="2025"/>
    <x v="2"/>
    <s v="Delhi"/>
    <x v="1"/>
    <s v="Customer_5288"/>
    <x v="6"/>
    <x v="2"/>
    <n v="8"/>
    <n v="24207"/>
    <n v="19008"/>
    <n v="5199"/>
    <n v="0.21477258644193828"/>
    <x v="0"/>
  </r>
  <r>
    <s v="ORD00536"/>
    <s v="2025-12-10"/>
    <x v="1"/>
    <n v="2025"/>
    <x v="3"/>
    <s v="Bangalore"/>
    <x v="5"/>
    <s v="Customer_5252"/>
    <x v="3"/>
    <x v="1"/>
    <n v="16"/>
    <n v="62928"/>
    <n v="39462"/>
    <n v="23466"/>
    <n v="0.37290236460717008"/>
    <x v="0"/>
  </r>
  <r>
    <s v="ORD00537"/>
    <s v="2025-08-25"/>
    <x v="10"/>
    <n v="2025"/>
    <x v="3"/>
    <s v="Bangalore"/>
    <x v="0"/>
    <s v="Customer_3361"/>
    <x v="0"/>
    <x v="0"/>
    <n v="8"/>
    <n v="70540"/>
    <n v="57438"/>
    <n v="13102"/>
    <n v="0.18573858803515736"/>
    <x v="1"/>
  </r>
  <r>
    <s v="ORD00538"/>
    <s v="2025-05-18"/>
    <x v="4"/>
    <n v="2025"/>
    <x v="3"/>
    <s v="Bangalore"/>
    <x v="3"/>
    <s v="Customer_8413"/>
    <x v="8"/>
    <x v="4"/>
    <n v="11"/>
    <n v="118092"/>
    <n v="56794"/>
    <n v="61298"/>
    <n v="0.51906987772245372"/>
    <x v="2"/>
  </r>
  <r>
    <s v="ORD00540"/>
    <s v="2025-08-14"/>
    <x v="10"/>
    <n v="2025"/>
    <x v="3"/>
    <s v="Chennai"/>
    <x v="3"/>
    <s v="Customer_9297"/>
    <x v="1"/>
    <x v="0"/>
    <n v="9"/>
    <n v="109057"/>
    <n v="74979"/>
    <n v="34078"/>
    <n v="0.31247879549226554"/>
    <x v="3"/>
  </r>
  <r>
    <s v="ORD00541"/>
    <s v="2025-08-10"/>
    <x v="10"/>
    <n v="2025"/>
    <x v="0"/>
    <s v="Kolkata"/>
    <x v="7"/>
    <s v="Customer_3678"/>
    <x v="0"/>
    <x v="0"/>
    <n v="16"/>
    <n v="111688"/>
    <n v="64843"/>
    <n v="46845"/>
    <n v="0.41942733328558124"/>
    <x v="2"/>
  </r>
  <r>
    <s v="ORD00542"/>
    <s v="2025-09-18"/>
    <x v="6"/>
    <n v="2025"/>
    <x v="0"/>
    <s v="Bhubaneswar"/>
    <x v="3"/>
    <s v="Customer_4957"/>
    <x v="0"/>
    <x v="0"/>
    <n v="19"/>
    <n v="63470"/>
    <n v="51594"/>
    <n v="11876"/>
    <n v="0.18711202142744604"/>
    <x v="0"/>
  </r>
  <r>
    <s v="ORD00543"/>
    <s v="2025-02-05"/>
    <x v="3"/>
    <n v="2025"/>
    <x v="0"/>
    <s v="Bhubaneswar"/>
    <x v="0"/>
    <s v="Customer_6467"/>
    <x v="1"/>
    <x v="0"/>
    <n v="20"/>
    <n v="77607"/>
    <n v="64405"/>
    <n v="13202"/>
    <n v="0.17011352068756685"/>
    <x v="3"/>
  </r>
  <r>
    <s v="ORD00544"/>
    <s v="2025-05-01"/>
    <x v="4"/>
    <n v="2025"/>
    <x v="0"/>
    <s v="Kolkata"/>
    <x v="4"/>
    <s v="Customer_6048"/>
    <x v="7"/>
    <x v="0"/>
    <n v="18"/>
    <n v="31822"/>
    <n v="21936"/>
    <n v="9886"/>
    <n v="0.31066557727358429"/>
    <x v="0"/>
  </r>
  <r>
    <s v="ORD00545"/>
    <s v="2025-08-04"/>
    <x v="10"/>
    <n v="2025"/>
    <x v="0"/>
    <s v="Bhubaneswar"/>
    <x v="5"/>
    <s v="Customer_9588"/>
    <x v="8"/>
    <x v="4"/>
    <n v="5"/>
    <n v="19347"/>
    <n v="8808"/>
    <n v="10539"/>
    <n v="0.54473561792525971"/>
    <x v="2"/>
  </r>
  <r>
    <s v="ORD00546"/>
    <s v="2025-11-14"/>
    <x v="11"/>
    <n v="2025"/>
    <x v="1"/>
    <s v="Mumbai"/>
    <x v="7"/>
    <s v="Customer_4319"/>
    <x v="0"/>
    <x v="0"/>
    <n v="17"/>
    <n v="70958"/>
    <n v="55456"/>
    <n v="15502"/>
    <n v="0.21846726232419178"/>
    <x v="2"/>
  </r>
  <r>
    <s v="ORD00547"/>
    <s v="2025-09-24"/>
    <x v="6"/>
    <n v="2025"/>
    <x v="0"/>
    <s v="Kolkata"/>
    <x v="4"/>
    <s v="Customer_1829"/>
    <x v="4"/>
    <x v="2"/>
    <n v="15"/>
    <n v="6194"/>
    <n v="4703"/>
    <n v="1491"/>
    <n v="0.24071682273167583"/>
    <x v="3"/>
  </r>
  <r>
    <s v="ORD00548"/>
    <s v="2025-07-05"/>
    <x v="0"/>
    <n v="2025"/>
    <x v="2"/>
    <s v="Chandigarh"/>
    <x v="5"/>
    <s v="Customer_4920"/>
    <x v="3"/>
    <x v="1"/>
    <n v="2"/>
    <n v="103589"/>
    <n v="76022"/>
    <n v="27567"/>
    <n v="0.26611898946799373"/>
    <x v="0"/>
  </r>
  <r>
    <s v="ORD00549"/>
    <s v="2025-12-09"/>
    <x v="1"/>
    <n v="2025"/>
    <x v="3"/>
    <s v="Bangalore"/>
    <x v="6"/>
    <s v="Customer_5456"/>
    <x v="6"/>
    <x v="2"/>
    <n v="17"/>
    <n v="52912"/>
    <n v="39062"/>
    <n v="13850"/>
    <n v="0.26175536740247957"/>
    <x v="1"/>
  </r>
  <r>
    <s v="ORD00551"/>
    <s v="2025-03-15"/>
    <x v="2"/>
    <n v="2025"/>
    <x v="3"/>
    <s v="Chennai"/>
    <x v="4"/>
    <s v="Customer_2922"/>
    <x v="1"/>
    <x v="0"/>
    <n v="13"/>
    <n v="107627"/>
    <n v="50369"/>
    <n v="57258"/>
    <n v="0.53200405102808779"/>
    <x v="3"/>
  </r>
  <r>
    <s v="ORD00552"/>
    <s v="2025-04-19"/>
    <x v="8"/>
    <n v="2025"/>
    <x v="2"/>
    <s v="Delhi"/>
    <x v="3"/>
    <s v="Customer_3491"/>
    <x v="8"/>
    <x v="4"/>
    <n v="6"/>
    <n v="117537"/>
    <n v="93383"/>
    <n v="24154"/>
    <n v="0.20550124641602219"/>
    <x v="0"/>
  </r>
  <r>
    <s v="ORD00553"/>
    <s v="2025-02-21"/>
    <x v="3"/>
    <n v="2025"/>
    <x v="0"/>
    <s v="Kolkata"/>
    <x v="4"/>
    <s v="Customer_3971"/>
    <x v="7"/>
    <x v="0"/>
    <n v="21"/>
    <n v="72198"/>
    <n v="51639"/>
    <n v="20559"/>
    <n v="0.2847585805700989"/>
    <x v="1"/>
  </r>
  <r>
    <s v="ORD00554"/>
    <s v="2025-10-17"/>
    <x v="7"/>
    <n v="2025"/>
    <x v="1"/>
    <s v="Pune"/>
    <x v="7"/>
    <s v="Customer_5882"/>
    <x v="1"/>
    <x v="0"/>
    <n v="17"/>
    <n v="79815"/>
    <n v="56211"/>
    <n v="23604"/>
    <n v="0.29573388460815636"/>
    <x v="1"/>
  </r>
  <r>
    <s v="ORD00555"/>
    <s v="2025-09-22"/>
    <x v="6"/>
    <n v="2025"/>
    <x v="0"/>
    <s v="Kolkata"/>
    <x v="2"/>
    <s v="Customer_8534"/>
    <x v="7"/>
    <x v="0"/>
    <n v="13"/>
    <n v="7564"/>
    <n v="6302"/>
    <n v="1262"/>
    <n v="0.16684294024325755"/>
    <x v="3"/>
  </r>
  <r>
    <s v="ORD00556"/>
    <s v="2025-09-20"/>
    <x v="6"/>
    <n v="2025"/>
    <x v="2"/>
    <s v="Chandigarh"/>
    <x v="4"/>
    <s v="Customer_5826"/>
    <x v="5"/>
    <x v="3"/>
    <n v="7"/>
    <n v="56002"/>
    <n v="36243"/>
    <n v="19759"/>
    <n v="0.3528266847612585"/>
    <x v="1"/>
  </r>
  <r>
    <s v="ORD00557"/>
    <s v="2025-06-05"/>
    <x v="9"/>
    <n v="2025"/>
    <x v="0"/>
    <s v="Kolkata"/>
    <x v="2"/>
    <s v="Customer_6824"/>
    <x v="8"/>
    <x v="4"/>
    <n v="19"/>
    <n v="106194"/>
    <n v="84028"/>
    <n v="22166"/>
    <n v="0.20873119008606889"/>
    <x v="3"/>
  </r>
  <r>
    <s v="ORD00558"/>
    <s v="2025-04-22"/>
    <x v="8"/>
    <n v="2025"/>
    <x v="0"/>
    <s v="Bhubaneswar"/>
    <x v="0"/>
    <s v="Customer_9235"/>
    <x v="5"/>
    <x v="3"/>
    <n v="20"/>
    <n v="55415"/>
    <n v="26250"/>
    <n v="29165"/>
    <n v="0.52630154290354592"/>
    <x v="2"/>
  </r>
  <r>
    <s v="ORD00559"/>
    <s v="2025-10-18"/>
    <x v="7"/>
    <n v="2025"/>
    <x v="3"/>
    <s v="Bangalore"/>
    <x v="0"/>
    <s v="Customer_1623"/>
    <x v="6"/>
    <x v="2"/>
    <n v="4"/>
    <n v="55843"/>
    <n v="39031"/>
    <n v="16812"/>
    <n v="0.30105832423043177"/>
    <x v="2"/>
  </r>
  <r>
    <s v="ORD00560"/>
    <s v="2025-01-24"/>
    <x v="5"/>
    <n v="2025"/>
    <x v="0"/>
    <s v="Kolkata"/>
    <x v="3"/>
    <s v="Customer_4370"/>
    <x v="1"/>
    <x v="0"/>
    <n v="24"/>
    <n v="66673"/>
    <n v="52389"/>
    <n v="14284"/>
    <n v="0.21423964723351283"/>
    <x v="0"/>
  </r>
  <r>
    <s v="ORD00561"/>
    <s v="2025-01-24"/>
    <x v="5"/>
    <n v="2025"/>
    <x v="3"/>
    <s v="Bangalore"/>
    <x v="3"/>
    <s v="Customer_9041"/>
    <x v="5"/>
    <x v="3"/>
    <n v="22"/>
    <n v="10304"/>
    <n v="5207"/>
    <n v="5097"/>
    <n v="0.49466226708074534"/>
    <x v="0"/>
  </r>
  <r>
    <s v="ORD00562"/>
    <s v="2025-01-25"/>
    <x v="5"/>
    <n v="2025"/>
    <x v="3"/>
    <s v="Chennai"/>
    <x v="2"/>
    <s v="Customer_3673"/>
    <x v="1"/>
    <x v="0"/>
    <n v="6"/>
    <n v="111450"/>
    <n v="67889"/>
    <n v="43561"/>
    <n v="0.39085688649618661"/>
    <x v="0"/>
  </r>
  <r>
    <s v="ORD00563"/>
    <s v="2025-04-06"/>
    <x v="8"/>
    <n v="2025"/>
    <x v="1"/>
    <s v="Mumbai"/>
    <x v="4"/>
    <s v="Customer_8453"/>
    <x v="8"/>
    <x v="4"/>
    <n v="10"/>
    <n v="112419"/>
    <n v="68447"/>
    <n v="43972"/>
    <n v="0.39114384579119188"/>
    <x v="2"/>
  </r>
  <r>
    <s v="ORD00565"/>
    <s v="2025-06-08"/>
    <x v="9"/>
    <n v="2025"/>
    <x v="1"/>
    <s v="Mumbai"/>
    <x v="6"/>
    <s v="Customer_4642"/>
    <x v="3"/>
    <x v="1"/>
    <n v="19"/>
    <n v="110405"/>
    <n v="89960"/>
    <n v="20445"/>
    <n v="0.18518183053303744"/>
    <x v="2"/>
  </r>
  <r>
    <s v="ORD00566"/>
    <s v="2025-07-21"/>
    <x v="0"/>
    <n v="2025"/>
    <x v="0"/>
    <s v="Bhubaneswar"/>
    <x v="1"/>
    <s v="Customer_3509"/>
    <x v="5"/>
    <x v="3"/>
    <n v="2"/>
    <n v="91301"/>
    <n v="76095"/>
    <n v="15206"/>
    <n v="0.16654801152232726"/>
    <x v="3"/>
  </r>
  <r>
    <s v="ORD00567"/>
    <s v="2025-02-02"/>
    <x v="3"/>
    <n v="2025"/>
    <x v="1"/>
    <s v="Mumbai"/>
    <x v="1"/>
    <s v="Customer_7449"/>
    <x v="1"/>
    <x v="0"/>
    <n v="23"/>
    <n v="78063"/>
    <n v="46865"/>
    <n v="31198"/>
    <n v="0.39965156348077835"/>
    <x v="2"/>
  </r>
  <r>
    <s v="ORD00568"/>
    <s v="2025-07-14"/>
    <x v="0"/>
    <n v="2025"/>
    <x v="2"/>
    <s v="Delhi"/>
    <x v="6"/>
    <s v="Customer_3025"/>
    <x v="5"/>
    <x v="3"/>
    <n v="1"/>
    <n v="34114"/>
    <n v="28793"/>
    <n v="5321"/>
    <n v="0.15597701823298352"/>
    <x v="2"/>
  </r>
  <r>
    <s v="ORD00569"/>
    <s v="2025-09-24"/>
    <x v="6"/>
    <n v="2025"/>
    <x v="0"/>
    <s v="Kolkata"/>
    <x v="5"/>
    <s v="Customer_6326"/>
    <x v="2"/>
    <x v="0"/>
    <n v="14"/>
    <n v="4490"/>
    <n v="2053"/>
    <n v="2437"/>
    <n v="0.54276169265033403"/>
    <x v="3"/>
  </r>
  <r>
    <s v="ORD00570"/>
    <s v="2025-12-19"/>
    <x v="1"/>
    <n v="2025"/>
    <x v="2"/>
    <s v="Chandigarh"/>
    <x v="6"/>
    <s v="Customer_8749"/>
    <x v="7"/>
    <x v="0"/>
    <n v="2"/>
    <n v="41298"/>
    <n v="18688"/>
    <n v="22610"/>
    <n v="0.54748413966778053"/>
    <x v="1"/>
  </r>
  <r>
    <s v="ORD00571"/>
    <s v="2025-06-22"/>
    <x v="9"/>
    <n v="2025"/>
    <x v="3"/>
    <s v="Bangalore"/>
    <x v="6"/>
    <s v="Customer_4678"/>
    <x v="7"/>
    <x v="0"/>
    <n v="13"/>
    <n v="42686"/>
    <n v="23703"/>
    <n v="18983"/>
    <n v="0.44471255212481842"/>
    <x v="0"/>
  </r>
  <r>
    <s v="ORD00572"/>
    <s v="2025-08-04"/>
    <x v="10"/>
    <n v="2025"/>
    <x v="0"/>
    <s v="Kolkata"/>
    <x v="7"/>
    <s v="Customer_7017"/>
    <x v="1"/>
    <x v="0"/>
    <n v="1"/>
    <n v="20580"/>
    <n v="13073"/>
    <n v="7507"/>
    <n v="0.36477162293488824"/>
    <x v="0"/>
  </r>
  <r>
    <s v="ORD00573"/>
    <s v="2025-09-24"/>
    <x v="6"/>
    <n v="2025"/>
    <x v="2"/>
    <s v="Chandigarh"/>
    <x v="4"/>
    <s v="Customer_8025"/>
    <x v="4"/>
    <x v="2"/>
    <n v="22"/>
    <n v="102522"/>
    <n v="48885"/>
    <n v="53637"/>
    <n v="0.5231755135483116"/>
    <x v="1"/>
  </r>
  <r>
    <s v="ORD00574"/>
    <s v="2025-03-09"/>
    <x v="2"/>
    <n v="2025"/>
    <x v="1"/>
    <s v="Mumbai"/>
    <x v="5"/>
    <s v="Customer_2328"/>
    <x v="1"/>
    <x v="0"/>
    <n v="17"/>
    <n v="21314"/>
    <n v="15797"/>
    <n v="5517"/>
    <n v="0.25884395233180069"/>
    <x v="2"/>
  </r>
  <r>
    <s v="ORD00575"/>
    <s v="2025-08-21"/>
    <x v="10"/>
    <n v="2025"/>
    <x v="1"/>
    <s v="Mumbai"/>
    <x v="2"/>
    <s v="Customer_3881"/>
    <x v="5"/>
    <x v="3"/>
    <n v="12"/>
    <n v="55806"/>
    <n v="31958"/>
    <n v="23848"/>
    <n v="0.42733756226929004"/>
    <x v="2"/>
  </r>
  <r>
    <s v="ORD00577"/>
    <s v="2025-05-21"/>
    <x v="4"/>
    <n v="2025"/>
    <x v="3"/>
    <s v="Bangalore"/>
    <x v="7"/>
    <s v="Customer_7751"/>
    <x v="3"/>
    <x v="1"/>
    <n v="10"/>
    <n v="47771"/>
    <n v="22678"/>
    <n v="25093"/>
    <n v="0.52527684159845933"/>
    <x v="1"/>
  </r>
  <r>
    <s v="ORD00578"/>
    <s v="2025-05-04"/>
    <x v="4"/>
    <n v="2025"/>
    <x v="2"/>
    <s v="Chandigarh"/>
    <x v="6"/>
    <s v="Customer_8310"/>
    <x v="8"/>
    <x v="4"/>
    <n v="12"/>
    <n v="34894"/>
    <n v="29270"/>
    <n v="5624"/>
    <n v="0.16117384077491834"/>
    <x v="0"/>
  </r>
  <r>
    <s v="ORD00579"/>
    <s v="2025-03-21"/>
    <x v="2"/>
    <n v="2025"/>
    <x v="1"/>
    <s v="Mumbai"/>
    <x v="1"/>
    <s v="Customer_7878"/>
    <x v="1"/>
    <x v="0"/>
    <n v="20"/>
    <n v="36514"/>
    <n v="30165"/>
    <n v="6349"/>
    <n v="0.17387851235142684"/>
    <x v="3"/>
  </r>
  <r>
    <s v="ORD00580"/>
    <s v="2025-02-17"/>
    <x v="3"/>
    <n v="2025"/>
    <x v="0"/>
    <s v="Kolkata"/>
    <x v="2"/>
    <s v="Customer_3608"/>
    <x v="6"/>
    <x v="2"/>
    <n v="21"/>
    <n v="31983"/>
    <n v="22721"/>
    <n v="9262"/>
    <n v="0.28959134540224496"/>
    <x v="0"/>
  </r>
  <r>
    <s v="ORD00581"/>
    <s v="2025-07-11"/>
    <x v="0"/>
    <n v="2025"/>
    <x v="3"/>
    <s v="Bangalore"/>
    <x v="6"/>
    <s v="Customer_5314"/>
    <x v="8"/>
    <x v="4"/>
    <n v="11"/>
    <n v="60076"/>
    <n v="35453"/>
    <n v="24623"/>
    <n v="0.40986417204873826"/>
    <x v="3"/>
  </r>
  <r>
    <s v="ORD00582"/>
    <s v="2025-01-11"/>
    <x v="5"/>
    <n v="2025"/>
    <x v="1"/>
    <s v="Mumbai"/>
    <x v="7"/>
    <s v="Customer_4932"/>
    <x v="5"/>
    <x v="3"/>
    <n v="9"/>
    <n v="50362"/>
    <n v="35612"/>
    <n v="14750"/>
    <n v="0.2928795520432072"/>
    <x v="1"/>
  </r>
  <r>
    <s v="ORD00583"/>
    <s v="2025-05-05"/>
    <x v="4"/>
    <n v="2025"/>
    <x v="2"/>
    <s v="Delhi"/>
    <x v="7"/>
    <s v="Customer_1821"/>
    <x v="3"/>
    <x v="1"/>
    <n v="8"/>
    <n v="75563"/>
    <n v="46287"/>
    <n v="29276"/>
    <n v="0.38743829652078399"/>
    <x v="2"/>
  </r>
  <r>
    <s v="ORD00584"/>
    <s v="2025-06-13"/>
    <x v="9"/>
    <n v="2025"/>
    <x v="0"/>
    <s v="Bhubaneswar"/>
    <x v="6"/>
    <s v="Customer_9358"/>
    <x v="3"/>
    <x v="1"/>
    <n v="22"/>
    <n v="86817"/>
    <n v="57988"/>
    <n v="28829"/>
    <n v="0.33206630037895801"/>
    <x v="3"/>
  </r>
  <r>
    <s v="ORD00585"/>
    <s v="2025-07-07"/>
    <x v="0"/>
    <n v="2025"/>
    <x v="3"/>
    <s v="Bangalore"/>
    <x v="3"/>
    <s v="Customer_6686"/>
    <x v="6"/>
    <x v="2"/>
    <n v="13"/>
    <n v="57802"/>
    <n v="41505"/>
    <n v="16297"/>
    <n v="0.28194526140963982"/>
    <x v="2"/>
  </r>
  <r>
    <s v="ORD00586"/>
    <s v="2025-05-10"/>
    <x v="4"/>
    <n v="2025"/>
    <x v="2"/>
    <s v="Delhi"/>
    <x v="1"/>
    <s v="Customer_8547"/>
    <x v="3"/>
    <x v="1"/>
    <n v="16"/>
    <n v="30772"/>
    <n v="18602"/>
    <n v="12170"/>
    <n v="0.39548940595346421"/>
    <x v="3"/>
  </r>
  <r>
    <s v="ORD00588"/>
    <s v="2025-08-17"/>
    <x v="10"/>
    <n v="2025"/>
    <x v="1"/>
    <s v="Pune"/>
    <x v="7"/>
    <s v="Customer_3887"/>
    <x v="8"/>
    <x v="4"/>
    <n v="12"/>
    <n v="65699"/>
    <n v="52738"/>
    <n v="12961"/>
    <n v="0.1972784973896102"/>
    <x v="3"/>
  </r>
  <r>
    <s v="ORD00589"/>
    <s v="2025-06-04"/>
    <x v="9"/>
    <n v="2025"/>
    <x v="2"/>
    <s v="Chandigarh"/>
    <x v="7"/>
    <s v="Customer_6652"/>
    <x v="2"/>
    <x v="0"/>
    <n v="16"/>
    <n v="106096"/>
    <n v="85658"/>
    <n v="20438"/>
    <n v="0.19263685718594481"/>
    <x v="3"/>
  </r>
  <r>
    <s v="ORD00590"/>
    <s v="2025-07-29"/>
    <x v="0"/>
    <n v="2025"/>
    <x v="3"/>
    <s v="Bangalore"/>
    <x v="1"/>
    <s v="Customer_4476"/>
    <x v="4"/>
    <x v="2"/>
    <n v="9"/>
    <n v="62150"/>
    <n v="48235"/>
    <n v="13915"/>
    <n v="0.22389380530973452"/>
    <x v="1"/>
  </r>
  <r>
    <s v="ORD00591"/>
    <s v="2025-05-19"/>
    <x v="4"/>
    <n v="2025"/>
    <x v="0"/>
    <s v="Bhubaneswar"/>
    <x v="7"/>
    <s v="Customer_7103"/>
    <x v="6"/>
    <x v="2"/>
    <n v="18"/>
    <n v="83755"/>
    <n v="43375"/>
    <n v="40380"/>
    <n v="0.48212047041967643"/>
    <x v="1"/>
  </r>
  <r>
    <s v="ORD00592"/>
    <s v="2025-04-24"/>
    <x v="8"/>
    <n v="2025"/>
    <x v="1"/>
    <s v="Mumbai"/>
    <x v="2"/>
    <s v="Customer_5503"/>
    <x v="1"/>
    <x v="0"/>
    <n v="2"/>
    <n v="59696"/>
    <n v="47564"/>
    <n v="12132"/>
    <n v="0.20322969713213615"/>
    <x v="3"/>
  </r>
  <r>
    <s v="ORD00593"/>
    <s v="2025-01-14"/>
    <x v="5"/>
    <n v="2025"/>
    <x v="0"/>
    <s v="Kolkata"/>
    <x v="4"/>
    <s v="Customer_8549"/>
    <x v="6"/>
    <x v="2"/>
    <n v="6"/>
    <n v="15487"/>
    <n v="13124"/>
    <n v="2363"/>
    <n v="0.15257958287596049"/>
    <x v="1"/>
  </r>
  <r>
    <s v="ORD00594"/>
    <s v="2025-03-21"/>
    <x v="2"/>
    <n v="2025"/>
    <x v="1"/>
    <s v="Mumbai"/>
    <x v="1"/>
    <s v="Customer_2337"/>
    <x v="4"/>
    <x v="2"/>
    <n v="22"/>
    <n v="44925"/>
    <n v="27896"/>
    <n v="17029"/>
    <n v="0.37905397885364495"/>
    <x v="0"/>
  </r>
  <r>
    <s v="ORD00595"/>
    <s v="2025-08-28"/>
    <x v="10"/>
    <n v="2025"/>
    <x v="2"/>
    <s v="Delhi"/>
    <x v="3"/>
    <s v="Customer_2548"/>
    <x v="6"/>
    <x v="2"/>
    <n v="8"/>
    <n v="39642"/>
    <n v="20511"/>
    <n v="19131"/>
    <n v="0.48259421825336762"/>
    <x v="3"/>
  </r>
  <r>
    <s v="ORD00596"/>
    <s v="2025-10-25"/>
    <x v="7"/>
    <n v="2025"/>
    <x v="0"/>
    <s v="Kolkata"/>
    <x v="6"/>
    <s v="Customer_2728"/>
    <x v="8"/>
    <x v="4"/>
    <n v="10"/>
    <n v="103103"/>
    <n v="82486"/>
    <n v="20617"/>
    <n v="0.19996508346022909"/>
    <x v="0"/>
  </r>
  <r>
    <s v="ORD00597"/>
    <s v="2025-03-09"/>
    <x v="2"/>
    <n v="2025"/>
    <x v="2"/>
    <s v="Delhi"/>
    <x v="6"/>
    <s v="Customer_7069"/>
    <x v="8"/>
    <x v="4"/>
    <n v="3"/>
    <n v="46413"/>
    <n v="23961"/>
    <n v="22452"/>
    <n v="0.48374377868269663"/>
    <x v="2"/>
  </r>
  <r>
    <s v="ORD00598"/>
    <s v="2025-09-25"/>
    <x v="6"/>
    <n v="2025"/>
    <x v="1"/>
    <s v="Pune"/>
    <x v="0"/>
    <s v="Customer_3358"/>
    <x v="7"/>
    <x v="0"/>
    <n v="17"/>
    <n v="43228"/>
    <n v="36371"/>
    <n v="6857"/>
    <n v="0.15862403997409086"/>
    <x v="1"/>
  </r>
  <r>
    <s v="ORD00599"/>
    <s v="2025-08-16"/>
    <x v="10"/>
    <n v="2025"/>
    <x v="0"/>
    <s v="Kolkata"/>
    <x v="4"/>
    <s v="Customer_2484"/>
    <x v="5"/>
    <x v="3"/>
    <n v="17"/>
    <n v="100243"/>
    <n v="82866"/>
    <n v="17377"/>
    <n v="0.17334876250710773"/>
    <x v="1"/>
  </r>
  <r>
    <s v="ORD00600"/>
    <s v="2025-07-22"/>
    <x v="0"/>
    <n v="2025"/>
    <x v="1"/>
    <s v="Mumbai"/>
    <x v="2"/>
    <s v="Customer_6501"/>
    <x v="2"/>
    <x v="0"/>
    <n v="9"/>
    <n v="87769"/>
    <n v="66479"/>
    <n v="21290"/>
    <n v="0.24256856065353372"/>
    <x v="3"/>
  </r>
  <r>
    <s v="ORD00601"/>
    <s v="2025-12-14"/>
    <x v="1"/>
    <n v="2025"/>
    <x v="0"/>
    <s v="Bhubaneswar"/>
    <x v="7"/>
    <s v="Customer_2735"/>
    <x v="0"/>
    <x v="0"/>
    <n v="20"/>
    <n v="93187"/>
    <n v="57642"/>
    <n v="35545"/>
    <n v="0.38143732494875893"/>
    <x v="3"/>
  </r>
  <r>
    <s v="ORD00602"/>
    <s v="2025-05-24"/>
    <x v="4"/>
    <n v="2025"/>
    <x v="3"/>
    <s v="Bangalore"/>
    <x v="6"/>
    <s v="Customer_6115"/>
    <x v="3"/>
    <x v="1"/>
    <n v="17"/>
    <n v="88727"/>
    <n v="47581"/>
    <n v="41146"/>
    <n v="0.46373708115906093"/>
    <x v="0"/>
  </r>
  <r>
    <s v="ORD00603"/>
    <s v="2025-10-08"/>
    <x v="7"/>
    <n v="2025"/>
    <x v="2"/>
    <s v="Delhi"/>
    <x v="6"/>
    <s v="Customer_9490"/>
    <x v="7"/>
    <x v="0"/>
    <n v="25"/>
    <n v="25250"/>
    <n v="20052"/>
    <n v="5198"/>
    <n v="0.20586138613861385"/>
    <x v="0"/>
  </r>
  <r>
    <s v="ORD00604"/>
    <s v="2025-12-10"/>
    <x v="1"/>
    <n v="2025"/>
    <x v="1"/>
    <s v="Mumbai"/>
    <x v="3"/>
    <s v="Customer_8627"/>
    <x v="6"/>
    <x v="2"/>
    <n v="20"/>
    <n v="50829"/>
    <n v="35014"/>
    <n v="15815"/>
    <n v="0.31114127761710836"/>
    <x v="0"/>
  </r>
  <r>
    <s v="ORD00605"/>
    <s v="2025-03-09"/>
    <x v="2"/>
    <n v="2025"/>
    <x v="2"/>
    <s v="Chandigarh"/>
    <x v="3"/>
    <s v="Customer_8382"/>
    <x v="4"/>
    <x v="2"/>
    <n v="7"/>
    <n v="16822"/>
    <n v="13842"/>
    <n v="2980"/>
    <n v="0.1771489715848294"/>
    <x v="3"/>
  </r>
  <r>
    <s v="ORD00606"/>
    <s v="2025-01-30"/>
    <x v="5"/>
    <n v="2025"/>
    <x v="2"/>
    <s v="Chandigarh"/>
    <x v="7"/>
    <s v="Customer_5440"/>
    <x v="7"/>
    <x v="0"/>
    <n v="20"/>
    <n v="100196"/>
    <n v="48435"/>
    <n v="51761"/>
    <n v="0.5165974689608368"/>
    <x v="3"/>
  </r>
  <r>
    <s v="ORD00607"/>
    <s v="2025-02-23"/>
    <x v="3"/>
    <n v="2025"/>
    <x v="0"/>
    <s v="Bhubaneswar"/>
    <x v="7"/>
    <s v="Customer_2418"/>
    <x v="2"/>
    <x v="0"/>
    <n v="11"/>
    <n v="94614"/>
    <n v="42603"/>
    <n v="52011"/>
    <n v="0.54971780074830368"/>
    <x v="3"/>
  </r>
  <r>
    <s v="ORD00608"/>
    <s v="2025-10-21"/>
    <x v="7"/>
    <n v="2025"/>
    <x v="2"/>
    <s v="Delhi"/>
    <x v="0"/>
    <s v="Customer_6520"/>
    <x v="3"/>
    <x v="1"/>
    <n v="1"/>
    <n v="84721"/>
    <n v="60077"/>
    <n v="24644"/>
    <n v="0.29088419636217705"/>
    <x v="3"/>
  </r>
  <r>
    <s v="ORD00609"/>
    <s v="2025-09-21"/>
    <x v="6"/>
    <n v="2025"/>
    <x v="2"/>
    <s v="Chandigarh"/>
    <x v="7"/>
    <s v="Customer_4932"/>
    <x v="6"/>
    <x v="2"/>
    <n v="17"/>
    <n v="29526"/>
    <n v="15148"/>
    <n v="14378"/>
    <n v="0.48696064485538171"/>
    <x v="0"/>
  </r>
  <r>
    <s v="ORD00610"/>
    <s v="2025-01-17"/>
    <x v="5"/>
    <n v="2025"/>
    <x v="3"/>
    <s v="Bangalore"/>
    <x v="4"/>
    <s v="Customer_1254"/>
    <x v="3"/>
    <x v="1"/>
    <n v="10"/>
    <n v="114578"/>
    <n v="81799"/>
    <n v="32779"/>
    <n v="0.28608458866449055"/>
    <x v="0"/>
  </r>
  <r>
    <s v="ORD00611"/>
    <s v="2025-11-06"/>
    <x v="11"/>
    <n v="2025"/>
    <x v="0"/>
    <s v="Kolkata"/>
    <x v="3"/>
    <s v="Customer_9529"/>
    <x v="2"/>
    <x v="0"/>
    <n v="17"/>
    <n v="85258"/>
    <n v="70883"/>
    <n v="14375"/>
    <n v="0.16860587862722559"/>
    <x v="2"/>
  </r>
  <r>
    <s v="ORD00612"/>
    <s v="2025-04-22"/>
    <x v="8"/>
    <n v="2025"/>
    <x v="0"/>
    <s v="Kolkata"/>
    <x v="4"/>
    <s v="Customer_2774"/>
    <x v="7"/>
    <x v="0"/>
    <n v="19"/>
    <n v="119804"/>
    <n v="61643"/>
    <n v="58161"/>
    <n v="0.48546793095389135"/>
    <x v="3"/>
  </r>
  <r>
    <s v="ORD00613"/>
    <s v="2025-07-09"/>
    <x v="0"/>
    <n v="2025"/>
    <x v="2"/>
    <s v="Delhi"/>
    <x v="2"/>
    <s v="Customer_5742"/>
    <x v="7"/>
    <x v="0"/>
    <n v="3"/>
    <n v="114404"/>
    <n v="72517"/>
    <n v="41887"/>
    <n v="0.36613230306632633"/>
    <x v="1"/>
  </r>
  <r>
    <s v="ORD00614"/>
    <s v="2025-11-26"/>
    <x v="11"/>
    <n v="2025"/>
    <x v="2"/>
    <s v="Chandigarh"/>
    <x v="0"/>
    <s v="Customer_5639"/>
    <x v="7"/>
    <x v="0"/>
    <n v="20"/>
    <n v="6498"/>
    <n v="3972"/>
    <n v="2526"/>
    <n v="0.38873499538319484"/>
    <x v="0"/>
  </r>
  <r>
    <s v="ORD00615"/>
    <s v="2025-04-14"/>
    <x v="8"/>
    <n v="2025"/>
    <x v="1"/>
    <s v="Pune"/>
    <x v="4"/>
    <s v="Customer_4436"/>
    <x v="4"/>
    <x v="2"/>
    <n v="18"/>
    <n v="79352"/>
    <n v="62587"/>
    <n v="16765"/>
    <n v="0.21127381792519406"/>
    <x v="1"/>
  </r>
  <r>
    <s v="ORD00617"/>
    <s v="2025-03-25"/>
    <x v="2"/>
    <n v="2025"/>
    <x v="0"/>
    <s v="Bhubaneswar"/>
    <x v="3"/>
    <s v="Customer_7907"/>
    <x v="8"/>
    <x v="4"/>
    <n v="11"/>
    <n v="34427"/>
    <n v="20112"/>
    <n v="14315"/>
    <n v="0.41580736050193162"/>
    <x v="2"/>
  </r>
  <r>
    <s v="ORD00618"/>
    <s v="2025-11-22"/>
    <x v="11"/>
    <n v="2025"/>
    <x v="0"/>
    <s v="Kolkata"/>
    <x v="2"/>
    <s v="Customer_7507"/>
    <x v="5"/>
    <x v="3"/>
    <n v="22"/>
    <n v="77460"/>
    <n v="53486"/>
    <n v="23974"/>
    <n v="0.30950167828556674"/>
    <x v="2"/>
  </r>
  <r>
    <s v="ORD00619"/>
    <s v="2025-09-21"/>
    <x v="6"/>
    <n v="2025"/>
    <x v="1"/>
    <s v="Pune"/>
    <x v="5"/>
    <s v="Customer_4479"/>
    <x v="6"/>
    <x v="2"/>
    <n v="19"/>
    <n v="89788"/>
    <n v="58243"/>
    <n v="31545"/>
    <n v="0.35132757161313316"/>
    <x v="3"/>
  </r>
  <r>
    <s v="ORD00620"/>
    <s v="2025-01-05"/>
    <x v="5"/>
    <n v="2025"/>
    <x v="3"/>
    <s v="Bangalore"/>
    <x v="0"/>
    <s v="Customer_5900"/>
    <x v="0"/>
    <x v="0"/>
    <n v="9"/>
    <n v="60828"/>
    <n v="28037"/>
    <n v="32791"/>
    <n v="0.53907739856644965"/>
    <x v="3"/>
  </r>
  <r>
    <s v="ORD00621"/>
    <s v="2025-11-15"/>
    <x v="11"/>
    <n v="2025"/>
    <x v="3"/>
    <s v="Bangalore"/>
    <x v="3"/>
    <s v="Customer_9327"/>
    <x v="0"/>
    <x v="0"/>
    <n v="23"/>
    <n v="73838"/>
    <n v="45144"/>
    <n v="28694"/>
    <n v="0.38860749207725021"/>
    <x v="0"/>
  </r>
  <r>
    <s v="ORD00622"/>
    <s v="2025-12-06"/>
    <x v="1"/>
    <n v="2025"/>
    <x v="3"/>
    <s v="Chennai"/>
    <x v="0"/>
    <s v="Customer_2114"/>
    <x v="3"/>
    <x v="1"/>
    <n v="16"/>
    <n v="8914"/>
    <n v="4900"/>
    <n v="4014"/>
    <n v="0.45030289432353598"/>
    <x v="2"/>
  </r>
  <r>
    <s v="ORD00623"/>
    <s v="2025-11-08"/>
    <x v="11"/>
    <n v="2025"/>
    <x v="3"/>
    <s v="Bangalore"/>
    <x v="0"/>
    <s v="Customer_7919"/>
    <x v="5"/>
    <x v="3"/>
    <n v="8"/>
    <n v="119508"/>
    <n v="55409"/>
    <n v="64099"/>
    <n v="0.53635739866787158"/>
    <x v="1"/>
  </r>
  <r>
    <s v="ORD00624"/>
    <s v="2025-01-18"/>
    <x v="5"/>
    <n v="2025"/>
    <x v="1"/>
    <s v="Pune"/>
    <x v="7"/>
    <s v="Customer_1738"/>
    <x v="2"/>
    <x v="0"/>
    <n v="11"/>
    <n v="23414"/>
    <n v="18275"/>
    <n v="5139"/>
    <n v="0.21948406936021184"/>
    <x v="0"/>
  </r>
  <r>
    <s v="ORD00625"/>
    <s v="2025-09-03"/>
    <x v="6"/>
    <n v="2025"/>
    <x v="1"/>
    <s v="Pune"/>
    <x v="3"/>
    <s v="Customer_7719"/>
    <x v="4"/>
    <x v="2"/>
    <n v="10"/>
    <n v="87372"/>
    <n v="63286"/>
    <n v="24086"/>
    <n v="0.27567183994872502"/>
    <x v="0"/>
  </r>
  <r>
    <s v="ORD00626"/>
    <s v="2025-10-09"/>
    <x v="7"/>
    <n v="2025"/>
    <x v="0"/>
    <s v="Bhubaneswar"/>
    <x v="7"/>
    <s v="Customer_3286"/>
    <x v="2"/>
    <x v="0"/>
    <n v="17"/>
    <n v="49393"/>
    <n v="23563"/>
    <n v="25830"/>
    <n v="0.5229485959548924"/>
    <x v="2"/>
  </r>
  <r>
    <s v="ORD00627"/>
    <s v="2025-06-29"/>
    <x v="9"/>
    <n v="2025"/>
    <x v="1"/>
    <s v="Pune"/>
    <x v="5"/>
    <s v="Customer_4688"/>
    <x v="5"/>
    <x v="3"/>
    <n v="11"/>
    <n v="62380"/>
    <n v="42587"/>
    <n v="19793"/>
    <n v="0.31729721064443733"/>
    <x v="2"/>
  </r>
  <r>
    <s v="ORD00628"/>
    <s v="2025-12-31"/>
    <x v="1"/>
    <n v="2025"/>
    <x v="2"/>
    <s v="Chandigarh"/>
    <x v="0"/>
    <s v="Customer_1371"/>
    <x v="8"/>
    <x v="4"/>
    <n v="24"/>
    <n v="98858"/>
    <n v="59504"/>
    <n v="39354"/>
    <n v="0.39808614376175927"/>
    <x v="3"/>
  </r>
  <r>
    <s v="ORD00629"/>
    <s v="2025-08-09"/>
    <x v="10"/>
    <n v="2025"/>
    <x v="0"/>
    <s v="Bhubaneswar"/>
    <x v="7"/>
    <s v="Customer_1268"/>
    <x v="8"/>
    <x v="4"/>
    <n v="15"/>
    <n v="46609"/>
    <n v="33600"/>
    <n v="13009"/>
    <n v="0.2791091849213671"/>
    <x v="3"/>
  </r>
  <r>
    <s v="ORD00630"/>
    <s v="2025-10-19"/>
    <x v="7"/>
    <n v="2025"/>
    <x v="1"/>
    <s v="Mumbai"/>
    <x v="5"/>
    <s v="Customer_8272"/>
    <x v="7"/>
    <x v="0"/>
    <n v="11"/>
    <n v="13444"/>
    <n v="6884"/>
    <n v="6560"/>
    <n v="0.48795001487652484"/>
    <x v="2"/>
  </r>
  <r>
    <s v="ORD00631"/>
    <s v="2025-12-14"/>
    <x v="1"/>
    <n v="2025"/>
    <x v="2"/>
    <s v="Chandigarh"/>
    <x v="2"/>
    <s v="Customer_4339"/>
    <x v="1"/>
    <x v="0"/>
    <n v="13"/>
    <n v="12822"/>
    <n v="7560"/>
    <n v="5262"/>
    <n v="0.41038839494618623"/>
    <x v="2"/>
  </r>
  <r>
    <s v="ORD00632"/>
    <s v="2025-08-05"/>
    <x v="10"/>
    <n v="2025"/>
    <x v="2"/>
    <s v="Chandigarh"/>
    <x v="6"/>
    <s v="Customer_3315"/>
    <x v="2"/>
    <x v="0"/>
    <n v="2"/>
    <n v="74682"/>
    <n v="42047"/>
    <n v="32635"/>
    <n v="0.43698615462896012"/>
    <x v="3"/>
  </r>
  <r>
    <s v="ORD00633"/>
    <s v="2025-12-20"/>
    <x v="1"/>
    <n v="2025"/>
    <x v="0"/>
    <s v="Kolkata"/>
    <x v="2"/>
    <s v="Customer_8396"/>
    <x v="0"/>
    <x v="0"/>
    <n v="16"/>
    <n v="118489"/>
    <n v="73337"/>
    <n v="45152"/>
    <n v="0.38106490897889256"/>
    <x v="3"/>
  </r>
  <r>
    <s v="ORD00634"/>
    <s v="2025-04-10"/>
    <x v="8"/>
    <n v="2025"/>
    <x v="1"/>
    <s v="Pune"/>
    <x v="4"/>
    <s v="Customer_9002"/>
    <x v="1"/>
    <x v="0"/>
    <n v="4"/>
    <n v="78015"/>
    <n v="38037"/>
    <n v="39978"/>
    <n v="0.5124399154008844"/>
    <x v="3"/>
  </r>
  <r>
    <s v="ORD00635"/>
    <s v="2025-09-22"/>
    <x v="6"/>
    <n v="2025"/>
    <x v="1"/>
    <s v="Mumbai"/>
    <x v="3"/>
    <s v="Customer_6858"/>
    <x v="4"/>
    <x v="2"/>
    <n v="7"/>
    <n v="105301"/>
    <n v="48884"/>
    <n v="56417"/>
    <n v="0.53576889108365544"/>
    <x v="3"/>
  </r>
  <r>
    <s v="ORD00636"/>
    <s v="2025-06-23"/>
    <x v="9"/>
    <n v="2025"/>
    <x v="2"/>
    <s v="Chandigarh"/>
    <x v="0"/>
    <s v="Customer_4343"/>
    <x v="8"/>
    <x v="4"/>
    <n v="4"/>
    <n v="107616"/>
    <n v="59719"/>
    <n v="47897"/>
    <n v="0.44507322331251858"/>
    <x v="1"/>
  </r>
  <r>
    <s v="ORD00637"/>
    <s v="2025-12-05"/>
    <x v="1"/>
    <n v="2025"/>
    <x v="0"/>
    <s v="Kolkata"/>
    <x v="1"/>
    <s v="Customer_5282"/>
    <x v="7"/>
    <x v="0"/>
    <n v="11"/>
    <n v="7711"/>
    <n v="4885"/>
    <n v="2826"/>
    <n v="0.36648943068343925"/>
    <x v="3"/>
  </r>
  <r>
    <s v="ORD00638"/>
    <s v="2025-06-30"/>
    <x v="9"/>
    <n v="2025"/>
    <x v="1"/>
    <s v="Mumbai"/>
    <x v="3"/>
    <s v="Customer_2235"/>
    <x v="5"/>
    <x v="3"/>
    <n v="19"/>
    <n v="14983"/>
    <n v="11232"/>
    <n v="3751"/>
    <n v="0.25035039711673229"/>
    <x v="2"/>
  </r>
  <r>
    <s v="ORD00639"/>
    <s v="2025-10-28"/>
    <x v="7"/>
    <n v="2025"/>
    <x v="0"/>
    <s v="Kolkata"/>
    <x v="4"/>
    <s v="Customer_3778"/>
    <x v="1"/>
    <x v="0"/>
    <n v="19"/>
    <n v="21271"/>
    <n v="17235"/>
    <n v="4036"/>
    <n v="0.18974190212025763"/>
    <x v="2"/>
  </r>
  <r>
    <s v="ORD00640"/>
    <s v="2025-07-22"/>
    <x v="0"/>
    <n v="2025"/>
    <x v="3"/>
    <s v="Chennai"/>
    <x v="4"/>
    <s v="Customer_8887"/>
    <x v="3"/>
    <x v="1"/>
    <n v="7"/>
    <n v="19050"/>
    <n v="13858"/>
    <n v="5192"/>
    <n v="0.2725459317585302"/>
    <x v="1"/>
  </r>
  <r>
    <s v="ORD00641"/>
    <s v="2025-09-20"/>
    <x v="6"/>
    <n v="2025"/>
    <x v="1"/>
    <s v="Mumbai"/>
    <x v="1"/>
    <s v="Customer_2584"/>
    <x v="8"/>
    <x v="4"/>
    <n v="13"/>
    <n v="105800"/>
    <n v="48111"/>
    <n v="57689"/>
    <n v="0.54526465028355386"/>
    <x v="2"/>
  </r>
  <r>
    <s v="ORD00642"/>
    <s v="2025-04-28"/>
    <x v="8"/>
    <n v="2025"/>
    <x v="3"/>
    <s v="Bangalore"/>
    <x v="0"/>
    <s v="Customer_8356"/>
    <x v="4"/>
    <x v="2"/>
    <n v="11"/>
    <n v="17138"/>
    <n v="9558"/>
    <n v="7580"/>
    <n v="0.44229198272843973"/>
    <x v="3"/>
  </r>
  <r>
    <s v="ORD00643"/>
    <s v="2025-08-01"/>
    <x v="10"/>
    <n v="2025"/>
    <x v="3"/>
    <s v="Bangalore"/>
    <x v="0"/>
    <s v="Customer_8086"/>
    <x v="4"/>
    <x v="2"/>
    <n v="11"/>
    <n v="103866"/>
    <n v="57618"/>
    <n v="46248"/>
    <n v="0.44526601582808617"/>
    <x v="2"/>
  </r>
  <r>
    <s v="ORD00644"/>
    <s v="2025-11-19"/>
    <x v="11"/>
    <n v="2025"/>
    <x v="0"/>
    <s v="Kolkata"/>
    <x v="5"/>
    <s v="Customer_7927"/>
    <x v="5"/>
    <x v="3"/>
    <n v="5"/>
    <n v="71233"/>
    <n v="46940"/>
    <n v="24293"/>
    <n v="0.34103575589965324"/>
    <x v="0"/>
  </r>
  <r>
    <s v="ORD00645"/>
    <s v="2025-09-30"/>
    <x v="6"/>
    <n v="2025"/>
    <x v="1"/>
    <s v="Pune"/>
    <x v="6"/>
    <s v="Customer_1935"/>
    <x v="1"/>
    <x v="0"/>
    <n v="24"/>
    <n v="94005"/>
    <n v="61395"/>
    <n v="32610"/>
    <n v="0.34689644167863409"/>
    <x v="1"/>
  </r>
  <r>
    <s v="ORD00646"/>
    <s v="2025-05-24"/>
    <x v="4"/>
    <n v="2025"/>
    <x v="2"/>
    <s v="Chandigarh"/>
    <x v="3"/>
    <s v="Customer_8134"/>
    <x v="1"/>
    <x v="0"/>
    <n v="1"/>
    <n v="56200"/>
    <n v="25596"/>
    <n v="30604"/>
    <n v="0.54455516014234873"/>
    <x v="1"/>
  </r>
  <r>
    <s v="ORD00647"/>
    <s v="2025-07-29"/>
    <x v="0"/>
    <n v="2025"/>
    <x v="2"/>
    <s v="Chandigarh"/>
    <x v="3"/>
    <s v="Customer_1785"/>
    <x v="2"/>
    <x v="0"/>
    <n v="24"/>
    <n v="83202"/>
    <n v="57690"/>
    <n v="25512"/>
    <n v="0.30662724453739093"/>
    <x v="2"/>
  </r>
  <r>
    <s v="ORD00648"/>
    <s v="2025-12-19"/>
    <x v="1"/>
    <n v="2025"/>
    <x v="0"/>
    <s v="Bhubaneswar"/>
    <x v="4"/>
    <s v="Customer_4971"/>
    <x v="6"/>
    <x v="2"/>
    <n v="15"/>
    <n v="76780"/>
    <n v="40657"/>
    <n v="36123"/>
    <n v="0.47047408179213335"/>
    <x v="0"/>
  </r>
  <r>
    <s v="ORD00649"/>
    <s v="2025-01-19"/>
    <x v="5"/>
    <n v="2025"/>
    <x v="1"/>
    <s v="Pune"/>
    <x v="7"/>
    <s v="Customer_2941"/>
    <x v="3"/>
    <x v="1"/>
    <n v="1"/>
    <n v="81252"/>
    <n v="57212"/>
    <n v="24040"/>
    <n v="0.29586964013193523"/>
    <x v="1"/>
  </r>
  <r>
    <s v="ORD00650"/>
    <s v="2025-05-29"/>
    <x v="4"/>
    <n v="2025"/>
    <x v="3"/>
    <s v="Chennai"/>
    <x v="0"/>
    <s v="Customer_9339"/>
    <x v="2"/>
    <x v="0"/>
    <n v="10"/>
    <n v="51005"/>
    <n v="23218"/>
    <n v="27787"/>
    <n v="0.5447897264974022"/>
    <x v="0"/>
  </r>
  <r>
    <s v="ORD00651"/>
    <s v="2025-12-24"/>
    <x v="1"/>
    <n v="2025"/>
    <x v="3"/>
    <s v="Bangalore"/>
    <x v="5"/>
    <s v="Customer_2422"/>
    <x v="7"/>
    <x v="0"/>
    <n v="12"/>
    <n v="23934"/>
    <n v="18747"/>
    <n v="5187"/>
    <n v="0.21672098270243167"/>
    <x v="3"/>
  </r>
  <r>
    <s v="ORD00652"/>
    <s v="2025-02-08"/>
    <x v="3"/>
    <n v="2025"/>
    <x v="1"/>
    <s v="Pune"/>
    <x v="5"/>
    <s v="Customer_6219"/>
    <x v="8"/>
    <x v="4"/>
    <n v="21"/>
    <n v="9647"/>
    <n v="7608"/>
    <n v="2039"/>
    <n v="0.21136104488442004"/>
    <x v="1"/>
  </r>
  <r>
    <s v="ORD00653"/>
    <s v="2025-12-01"/>
    <x v="1"/>
    <n v="2025"/>
    <x v="3"/>
    <s v="Bangalore"/>
    <x v="0"/>
    <s v="Customer_8694"/>
    <x v="5"/>
    <x v="3"/>
    <n v="12"/>
    <n v="4834"/>
    <n v="2536"/>
    <n v="2298"/>
    <n v="0.47538270583367809"/>
    <x v="1"/>
  </r>
  <r>
    <s v="ORD00654"/>
    <s v="2025-09-19"/>
    <x v="6"/>
    <n v="2025"/>
    <x v="0"/>
    <s v="Kolkata"/>
    <x v="2"/>
    <s v="Customer_9911"/>
    <x v="4"/>
    <x v="2"/>
    <n v="6"/>
    <n v="42316"/>
    <n v="27224"/>
    <n v="15092"/>
    <n v="0.35664996691558748"/>
    <x v="1"/>
  </r>
  <r>
    <s v="ORD00655"/>
    <s v="2025-10-28"/>
    <x v="7"/>
    <n v="2025"/>
    <x v="1"/>
    <s v="Pune"/>
    <x v="7"/>
    <s v="Customer_2682"/>
    <x v="5"/>
    <x v="3"/>
    <n v="15"/>
    <n v="104552"/>
    <n v="84162"/>
    <n v="20390"/>
    <n v="0.1950225724998087"/>
    <x v="3"/>
  </r>
  <r>
    <s v="ORD00656"/>
    <s v="2025-03-12"/>
    <x v="2"/>
    <n v="2025"/>
    <x v="2"/>
    <s v="Chandigarh"/>
    <x v="3"/>
    <s v="Customer_5293"/>
    <x v="0"/>
    <x v="0"/>
    <n v="12"/>
    <n v="30798"/>
    <n v="18629"/>
    <n v="12169"/>
    <n v="0.39512305993895708"/>
    <x v="0"/>
  </r>
  <r>
    <s v="ORD00657"/>
    <s v="2025-08-03"/>
    <x v="10"/>
    <n v="2025"/>
    <x v="2"/>
    <s v="Delhi"/>
    <x v="3"/>
    <s v="Customer_6073"/>
    <x v="7"/>
    <x v="0"/>
    <n v="23"/>
    <n v="60023"/>
    <n v="44176"/>
    <n v="15847"/>
    <n v="0.26401546074004967"/>
    <x v="1"/>
  </r>
  <r>
    <s v="ORD00658"/>
    <s v="2025-08-07"/>
    <x v="10"/>
    <n v="2025"/>
    <x v="3"/>
    <s v="Chennai"/>
    <x v="4"/>
    <s v="Customer_8416"/>
    <x v="6"/>
    <x v="2"/>
    <n v="2"/>
    <n v="25145"/>
    <n v="15981"/>
    <n v="9164"/>
    <n v="0.3644462119705707"/>
    <x v="1"/>
  </r>
  <r>
    <s v="ORD00659"/>
    <s v="2025-11-17"/>
    <x v="11"/>
    <n v="2025"/>
    <x v="1"/>
    <s v="Pune"/>
    <x v="4"/>
    <s v="Customer_4007"/>
    <x v="5"/>
    <x v="3"/>
    <n v="18"/>
    <n v="109907"/>
    <n v="92711"/>
    <n v="17196"/>
    <n v="0.15645955216683197"/>
    <x v="1"/>
  </r>
  <r>
    <s v="ORD00661"/>
    <s v="2025-05-03"/>
    <x v="4"/>
    <n v="2025"/>
    <x v="1"/>
    <s v="Pune"/>
    <x v="0"/>
    <s v="Customer_1193"/>
    <x v="5"/>
    <x v="3"/>
    <n v="5"/>
    <n v="37111"/>
    <n v="21299"/>
    <n v="15812"/>
    <n v="0.42607313195548491"/>
    <x v="0"/>
  </r>
  <r>
    <s v="ORD00662"/>
    <s v="2025-05-16"/>
    <x v="4"/>
    <n v="2025"/>
    <x v="0"/>
    <s v="Kolkata"/>
    <x v="3"/>
    <s v="Customer_9099"/>
    <x v="0"/>
    <x v="0"/>
    <n v="20"/>
    <n v="56452"/>
    <n v="30248"/>
    <n v="26204"/>
    <n v="0.46418195989513217"/>
    <x v="2"/>
  </r>
  <r>
    <s v="ORD00663"/>
    <s v="2025-04-09"/>
    <x v="8"/>
    <n v="2025"/>
    <x v="1"/>
    <s v="Pune"/>
    <x v="4"/>
    <s v="Customer_9564"/>
    <x v="7"/>
    <x v="0"/>
    <n v="16"/>
    <n v="76962"/>
    <n v="46011"/>
    <n v="30951"/>
    <n v="0.4021595072893116"/>
    <x v="0"/>
  </r>
  <r>
    <s v="ORD00664"/>
    <s v="2025-09-02"/>
    <x v="6"/>
    <n v="2025"/>
    <x v="0"/>
    <s v="Kolkata"/>
    <x v="2"/>
    <s v="Customer_5130"/>
    <x v="6"/>
    <x v="2"/>
    <n v="18"/>
    <n v="86343"/>
    <n v="71607"/>
    <n v="14736"/>
    <n v="0.17066814912615963"/>
    <x v="3"/>
  </r>
  <r>
    <s v="ORD00665"/>
    <s v="2025-10-20"/>
    <x v="7"/>
    <n v="2025"/>
    <x v="1"/>
    <s v="Mumbai"/>
    <x v="3"/>
    <s v="Customer_6583"/>
    <x v="4"/>
    <x v="2"/>
    <n v="20"/>
    <n v="104425"/>
    <n v="67523"/>
    <n v="36902"/>
    <n v="0.3533828106296385"/>
    <x v="0"/>
  </r>
  <r>
    <s v="ORD00666"/>
    <s v="2025-04-19"/>
    <x v="8"/>
    <n v="2025"/>
    <x v="0"/>
    <s v="Kolkata"/>
    <x v="3"/>
    <s v="Customer_5568"/>
    <x v="1"/>
    <x v="0"/>
    <n v="16"/>
    <n v="89561"/>
    <n v="63108"/>
    <n v="26453"/>
    <n v="0.29536293699266419"/>
    <x v="0"/>
  </r>
  <r>
    <s v="ORD00667"/>
    <s v="2025-10-10"/>
    <x v="7"/>
    <n v="2025"/>
    <x v="1"/>
    <s v="Mumbai"/>
    <x v="6"/>
    <s v="Customer_2095"/>
    <x v="1"/>
    <x v="0"/>
    <n v="20"/>
    <n v="46121"/>
    <n v="26965"/>
    <n v="19156"/>
    <n v="0.41534225190260404"/>
    <x v="0"/>
  </r>
  <r>
    <s v="ORD00668"/>
    <s v="2025-08-01"/>
    <x v="10"/>
    <n v="2025"/>
    <x v="1"/>
    <s v="Mumbai"/>
    <x v="1"/>
    <s v="Customer_8884"/>
    <x v="7"/>
    <x v="0"/>
    <n v="23"/>
    <n v="71198"/>
    <n v="49593"/>
    <n v="21605"/>
    <n v="0.30344953509930056"/>
    <x v="1"/>
  </r>
  <r>
    <s v="ORD00669"/>
    <s v="2025-06-01"/>
    <x v="9"/>
    <n v="2025"/>
    <x v="1"/>
    <s v="Pune"/>
    <x v="5"/>
    <s v="Customer_2876"/>
    <x v="2"/>
    <x v="0"/>
    <n v="12"/>
    <n v="106273"/>
    <n v="51709"/>
    <n v="54564"/>
    <n v="0.51343238640106137"/>
    <x v="2"/>
  </r>
  <r>
    <s v="ORD00670"/>
    <s v="2025-03-12"/>
    <x v="2"/>
    <n v="2025"/>
    <x v="0"/>
    <s v="Bhubaneswar"/>
    <x v="4"/>
    <s v="Customer_3404"/>
    <x v="2"/>
    <x v="0"/>
    <n v="10"/>
    <n v="59274"/>
    <n v="44928"/>
    <n v="14346"/>
    <n v="0.24202854539933191"/>
    <x v="0"/>
  </r>
  <r>
    <s v="ORD00671"/>
    <s v="2025-04-21"/>
    <x v="8"/>
    <n v="2025"/>
    <x v="2"/>
    <s v="Delhi"/>
    <x v="3"/>
    <s v="Customer_2436"/>
    <x v="3"/>
    <x v="1"/>
    <n v="1"/>
    <n v="116254"/>
    <n v="83317"/>
    <n v="32937"/>
    <n v="0.28331928363755227"/>
    <x v="3"/>
  </r>
  <r>
    <s v="ORD00672"/>
    <s v="2025-04-15"/>
    <x v="8"/>
    <n v="2025"/>
    <x v="3"/>
    <s v="Bangalore"/>
    <x v="0"/>
    <s v="Customer_1040"/>
    <x v="3"/>
    <x v="1"/>
    <n v="4"/>
    <n v="50641"/>
    <n v="27325"/>
    <n v="23316"/>
    <n v="0.46041744831263204"/>
    <x v="0"/>
  </r>
  <r>
    <s v="ORD00674"/>
    <s v="2025-03-15"/>
    <x v="2"/>
    <n v="2025"/>
    <x v="0"/>
    <s v="Bhubaneswar"/>
    <x v="1"/>
    <s v="Customer_8861"/>
    <x v="4"/>
    <x v="2"/>
    <n v="16"/>
    <n v="91138"/>
    <n v="62159"/>
    <n v="28979"/>
    <n v="0.31796835568039677"/>
    <x v="2"/>
  </r>
  <r>
    <s v="ORD00675"/>
    <s v="2025-11-08"/>
    <x v="11"/>
    <n v="2025"/>
    <x v="1"/>
    <s v="Pune"/>
    <x v="6"/>
    <s v="Customer_4561"/>
    <x v="6"/>
    <x v="2"/>
    <n v="23"/>
    <n v="17517"/>
    <n v="8091"/>
    <n v="9426"/>
    <n v="0.53810584004110296"/>
    <x v="0"/>
  </r>
  <r>
    <s v="ORD00677"/>
    <s v="2025-09-16"/>
    <x v="6"/>
    <n v="2025"/>
    <x v="3"/>
    <s v="Bangalore"/>
    <x v="6"/>
    <s v="Customer_8570"/>
    <x v="0"/>
    <x v="0"/>
    <n v="8"/>
    <n v="62293"/>
    <n v="45233"/>
    <n v="17060"/>
    <n v="0.27386704766185604"/>
    <x v="0"/>
  </r>
  <r>
    <s v="ORD00678"/>
    <s v="2025-04-21"/>
    <x v="8"/>
    <n v="2025"/>
    <x v="0"/>
    <s v="Kolkata"/>
    <x v="1"/>
    <s v="Customer_9416"/>
    <x v="7"/>
    <x v="0"/>
    <n v="17"/>
    <n v="50992"/>
    <n v="27738"/>
    <n v="23254"/>
    <n v="0.45603231879510514"/>
    <x v="1"/>
  </r>
  <r>
    <s v="ORD00679"/>
    <s v="2025-07-15"/>
    <x v="0"/>
    <n v="2025"/>
    <x v="3"/>
    <s v="Chennai"/>
    <x v="2"/>
    <s v="Customer_1834"/>
    <x v="6"/>
    <x v="2"/>
    <n v="17"/>
    <n v="35299"/>
    <n v="18117"/>
    <n v="17182"/>
    <n v="0.48675599875350578"/>
    <x v="1"/>
  </r>
  <r>
    <s v="ORD00680"/>
    <s v="2025-02-24"/>
    <x v="3"/>
    <n v="2025"/>
    <x v="1"/>
    <s v="Mumbai"/>
    <x v="3"/>
    <s v="Customer_3392"/>
    <x v="4"/>
    <x v="2"/>
    <n v="5"/>
    <n v="41193"/>
    <n v="26844"/>
    <n v="14349"/>
    <n v="0.34833588231010121"/>
    <x v="2"/>
  </r>
  <r>
    <s v="ORD00681"/>
    <s v="2025-08-27"/>
    <x v="10"/>
    <n v="2025"/>
    <x v="1"/>
    <s v="Mumbai"/>
    <x v="1"/>
    <s v="Customer_7128"/>
    <x v="4"/>
    <x v="2"/>
    <n v="24"/>
    <n v="89138"/>
    <n v="45349"/>
    <n v="43789"/>
    <n v="0.49124952321120063"/>
    <x v="0"/>
  </r>
  <r>
    <s v="ORD00682"/>
    <s v="2025-10-30"/>
    <x v="7"/>
    <n v="2025"/>
    <x v="3"/>
    <s v="Chennai"/>
    <x v="4"/>
    <s v="Customer_3515"/>
    <x v="1"/>
    <x v="0"/>
    <n v="15"/>
    <n v="56885"/>
    <n v="48210"/>
    <n v="8675"/>
    <n v="0.1525006592247517"/>
    <x v="2"/>
  </r>
  <r>
    <s v="ORD00683"/>
    <s v="2025-04-29"/>
    <x v="8"/>
    <n v="2025"/>
    <x v="0"/>
    <s v="Bhubaneswar"/>
    <x v="4"/>
    <s v="Customer_1417"/>
    <x v="5"/>
    <x v="3"/>
    <n v="17"/>
    <n v="112229"/>
    <n v="87370"/>
    <n v="24859"/>
    <n v="0.22150246371258767"/>
    <x v="3"/>
  </r>
  <r>
    <s v="ORD00684"/>
    <s v="2025-05-11"/>
    <x v="4"/>
    <n v="2025"/>
    <x v="1"/>
    <s v="Mumbai"/>
    <x v="6"/>
    <s v="Customer_1200"/>
    <x v="5"/>
    <x v="3"/>
    <n v="8"/>
    <n v="53038"/>
    <n v="44650"/>
    <n v="8388"/>
    <n v="0.15815075983257287"/>
    <x v="1"/>
  </r>
  <r>
    <s v="ORD00685"/>
    <s v="2025-08-02"/>
    <x v="10"/>
    <n v="2025"/>
    <x v="2"/>
    <s v="Chandigarh"/>
    <x v="1"/>
    <s v="Customer_8991"/>
    <x v="3"/>
    <x v="1"/>
    <n v="9"/>
    <n v="3177"/>
    <n v="1770"/>
    <n v="1407"/>
    <n v="0.4428706326723324"/>
    <x v="0"/>
  </r>
  <r>
    <s v="ORD00686"/>
    <s v="2025-05-25"/>
    <x v="4"/>
    <n v="2025"/>
    <x v="0"/>
    <s v="Kolkata"/>
    <x v="5"/>
    <s v="Customer_8747"/>
    <x v="3"/>
    <x v="1"/>
    <n v="6"/>
    <n v="116013"/>
    <n v="75886"/>
    <n v="40127"/>
    <n v="0.34588365097014989"/>
    <x v="0"/>
  </r>
  <r>
    <s v="ORD00687"/>
    <s v="2025-04-06"/>
    <x v="8"/>
    <n v="2025"/>
    <x v="1"/>
    <s v="Mumbai"/>
    <x v="0"/>
    <s v="Customer_6781"/>
    <x v="6"/>
    <x v="2"/>
    <n v="22"/>
    <n v="91000"/>
    <n v="67772"/>
    <n v="23228"/>
    <n v="0.25525274725274727"/>
    <x v="2"/>
  </r>
  <r>
    <s v="ORD00689"/>
    <s v="2025-05-25"/>
    <x v="4"/>
    <n v="2025"/>
    <x v="1"/>
    <s v="Pune"/>
    <x v="0"/>
    <s v="Customer_1161"/>
    <x v="7"/>
    <x v="0"/>
    <n v="10"/>
    <n v="68591"/>
    <n v="39764"/>
    <n v="28827"/>
    <n v="0.42027379685381466"/>
    <x v="1"/>
  </r>
  <r>
    <s v="ORD00690"/>
    <s v="2025-09-18"/>
    <x v="6"/>
    <n v="2025"/>
    <x v="1"/>
    <s v="Pune"/>
    <x v="2"/>
    <s v="Customer_9413"/>
    <x v="4"/>
    <x v="2"/>
    <n v="24"/>
    <n v="102289"/>
    <n v="85059"/>
    <n v="17230"/>
    <n v="0.16844430974982647"/>
    <x v="0"/>
  </r>
  <r>
    <s v="ORD00691"/>
    <s v="2025-07-06"/>
    <x v="0"/>
    <n v="2025"/>
    <x v="0"/>
    <s v="Kolkata"/>
    <x v="1"/>
    <s v="Customer_9893"/>
    <x v="0"/>
    <x v="0"/>
    <n v="6"/>
    <n v="21274"/>
    <n v="17519"/>
    <n v="3755"/>
    <n v="0.17650653379712325"/>
    <x v="1"/>
  </r>
  <r>
    <s v="ORD00692"/>
    <s v="2025-06-30"/>
    <x v="9"/>
    <n v="2025"/>
    <x v="2"/>
    <s v="Chandigarh"/>
    <x v="7"/>
    <s v="Customer_4076"/>
    <x v="0"/>
    <x v="0"/>
    <n v="8"/>
    <n v="44806"/>
    <n v="37340"/>
    <n v="7466"/>
    <n v="0.16662946926750882"/>
    <x v="2"/>
  </r>
  <r>
    <s v="ORD00693"/>
    <s v="2025-05-26"/>
    <x v="4"/>
    <n v="2025"/>
    <x v="0"/>
    <s v="Kolkata"/>
    <x v="6"/>
    <s v="Customer_9481"/>
    <x v="3"/>
    <x v="1"/>
    <n v="16"/>
    <n v="62535"/>
    <n v="40152"/>
    <n v="22383"/>
    <n v="0.35792756056608299"/>
    <x v="3"/>
  </r>
  <r>
    <s v="ORD00694"/>
    <s v="2025-12-12"/>
    <x v="1"/>
    <n v="2025"/>
    <x v="2"/>
    <s v="Chandigarh"/>
    <x v="7"/>
    <s v="Customer_3168"/>
    <x v="2"/>
    <x v="0"/>
    <n v="14"/>
    <n v="119091"/>
    <n v="61647"/>
    <n v="57444"/>
    <n v="0.48235383026425172"/>
    <x v="2"/>
  </r>
  <r>
    <s v="ORD00695"/>
    <s v="2025-11-22"/>
    <x v="11"/>
    <n v="2025"/>
    <x v="0"/>
    <s v="Kolkata"/>
    <x v="0"/>
    <s v="Customer_4086"/>
    <x v="5"/>
    <x v="3"/>
    <n v="16"/>
    <n v="91789"/>
    <n v="50282"/>
    <n v="41507"/>
    <n v="0.45220015470263319"/>
    <x v="0"/>
  </r>
  <r>
    <s v="ORD00696"/>
    <s v="2025-06-11"/>
    <x v="9"/>
    <n v="2025"/>
    <x v="2"/>
    <s v="Delhi"/>
    <x v="4"/>
    <s v="Customer_8674"/>
    <x v="5"/>
    <x v="3"/>
    <n v="13"/>
    <n v="86193"/>
    <n v="44493"/>
    <n v="41700"/>
    <n v="0.48379798823570358"/>
    <x v="0"/>
  </r>
  <r>
    <s v="ORD00697"/>
    <s v="2025-09-23"/>
    <x v="6"/>
    <n v="2025"/>
    <x v="0"/>
    <s v="Kolkata"/>
    <x v="5"/>
    <s v="Customer_1067"/>
    <x v="3"/>
    <x v="1"/>
    <n v="21"/>
    <n v="22431"/>
    <n v="10688"/>
    <n v="11743"/>
    <n v="0.52351656190094065"/>
    <x v="3"/>
  </r>
  <r>
    <s v="ORD00698"/>
    <s v="2025-11-08"/>
    <x v="11"/>
    <n v="2025"/>
    <x v="2"/>
    <s v="Chandigarh"/>
    <x v="6"/>
    <s v="Customer_8171"/>
    <x v="7"/>
    <x v="0"/>
    <n v="6"/>
    <n v="13625"/>
    <n v="11494"/>
    <n v="2131"/>
    <n v="0.15640366972477066"/>
    <x v="3"/>
  </r>
  <r>
    <s v="ORD00699"/>
    <s v="2025-08-10"/>
    <x v="10"/>
    <n v="2025"/>
    <x v="3"/>
    <s v="Chennai"/>
    <x v="6"/>
    <s v="Customer_4380"/>
    <x v="1"/>
    <x v="0"/>
    <n v="2"/>
    <n v="45847"/>
    <n v="36348"/>
    <n v="9499"/>
    <n v="0.20718912905969855"/>
    <x v="2"/>
  </r>
  <r>
    <s v="ORD00700"/>
    <s v="2025-09-24"/>
    <x v="6"/>
    <n v="2025"/>
    <x v="2"/>
    <s v="Delhi"/>
    <x v="2"/>
    <s v="Customer_2211"/>
    <x v="5"/>
    <x v="3"/>
    <n v="16"/>
    <n v="9942"/>
    <n v="6062"/>
    <n v="3880"/>
    <n v="0.39026352846509754"/>
    <x v="1"/>
  </r>
  <r>
    <s v="ORD00701"/>
    <s v="2025-10-07"/>
    <x v="7"/>
    <n v="2025"/>
    <x v="1"/>
    <s v="Pune"/>
    <x v="1"/>
    <s v="Customer_3192"/>
    <x v="5"/>
    <x v="3"/>
    <n v="17"/>
    <n v="96560"/>
    <n v="50047"/>
    <n v="46513"/>
    <n v="0.48170049710024854"/>
    <x v="3"/>
  </r>
  <r>
    <s v="ORD00702"/>
    <s v="2025-02-03"/>
    <x v="3"/>
    <n v="2025"/>
    <x v="3"/>
    <s v="Chennai"/>
    <x v="2"/>
    <s v="Customer_2028"/>
    <x v="4"/>
    <x v="2"/>
    <n v="3"/>
    <n v="20267"/>
    <n v="14733"/>
    <n v="5534"/>
    <n v="0.27305471949474514"/>
    <x v="2"/>
  </r>
  <r>
    <s v="ORD00703"/>
    <s v="2025-02-16"/>
    <x v="3"/>
    <n v="2025"/>
    <x v="2"/>
    <s v="Chandigarh"/>
    <x v="7"/>
    <s v="Customer_2885"/>
    <x v="6"/>
    <x v="2"/>
    <n v="18"/>
    <n v="108847"/>
    <n v="64396"/>
    <n v="44451"/>
    <n v="0.40838057089308849"/>
    <x v="0"/>
  </r>
  <r>
    <s v="ORD00704"/>
    <s v="2025-08-16"/>
    <x v="10"/>
    <n v="2025"/>
    <x v="3"/>
    <s v="Bangalore"/>
    <x v="0"/>
    <s v="Customer_7274"/>
    <x v="1"/>
    <x v="0"/>
    <n v="20"/>
    <n v="110948"/>
    <n v="89243"/>
    <n v="21705"/>
    <n v="0.19563218805206042"/>
    <x v="3"/>
  </r>
  <r>
    <s v="ORD00705"/>
    <s v="2025-08-19"/>
    <x v="10"/>
    <n v="2025"/>
    <x v="2"/>
    <s v="Chandigarh"/>
    <x v="7"/>
    <s v="Customer_4268"/>
    <x v="8"/>
    <x v="4"/>
    <n v="2"/>
    <n v="69579"/>
    <n v="33490"/>
    <n v="36089"/>
    <n v="0.51867661219620864"/>
    <x v="3"/>
  </r>
  <r>
    <s v="ORD00706"/>
    <s v="2025-11-27"/>
    <x v="11"/>
    <n v="2025"/>
    <x v="1"/>
    <s v="Pune"/>
    <x v="5"/>
    <s v="Customer_9965"/>
    <x v="1"/>
    <x v="0"/>
    <n v="22"/>
    <n v="62213"/>
    <n v="46048"/>
    <n v="16165"/>
    <n v="0.25983315384244449"/>
    <x v="2"/>
  </r>
  <r>
    <s v="ORD00707"/>
    <s v="2025-08-04"/>
    <x v="10"/>
    <n v="2025"/>
    <x v="0"/>
    <s v="Kolkata"/>
    <x v="4"/>
    <s v="Customer_6837"/>
    <x v="3"/>
    <x v="1"/>
    <n v="9"/>
    <n v="100661"/>
    <n v="77078"/>
    <n v="23583"/>
    <n v="0.23428139994635461"/>
    <x v="0"/>
  </r>
  <r>
    <s v="ORD00708"/>
    <s v="2025-12-16"/>
    <x v="1"/>
    <n v="2025"/>
    <x v="2"/>
    <s v="Delhi"/>
    <x v="4"/>
    <s v="Customer_5464"/>
    <x v="4"/>
    <x v="2"/>
    <n v="7"/>
    <n v="29125"/>
    <n v="24424"/>
    <n v="4701"/>
    <n v="0.16140772532188841"/>
    <x v="1"/>
  </r>
  <r>
    <s v="ORD00709"/>
    <s v="2025-03-06"/>
    <x v="2"/>
    <n v="2025"/>
    <x v="1"/>
    <s v="Mumbai"/>
    <x v="1"/>
    <s v="Customer_2207"/>
    <x v="4"/>
    <x v="2"/>
    <n v="20"/>
    <n v="109895"/>
    <n v="90040"/>
    <n v="19855"/>
    <n v="0.18067246007552665"/>
    <x v="2"/>
  </r>
  <r>
    <s v="ORD00710"/>
    <s v="2025-12-07"/>
    <x v="1"/>
    <n v="2025"/>
    <x v="2"/>
    <s v="Delhi"/>
    <x v="3"/>
    <s v="Customer_7997"/>
    <x v="8"/>
    <x v="4"/>
    <n v="23"/>
    <n v="57536"/>
    <n v="32377"/>
    <n v="25159"/>
    <n v="0.43727405450500556"/>
    <x v="1"/>
  </r>
  <r>
    <s v="ORD00711"/>
    <s v="2025-07-06"/>
    <x v="0"/>
    <n v="2025"/>
    <x v="0"/>
    <s v="Kolkata"/>
    <x v="6"/>
    <s v="Customer_2181"/>
    <x v="5"/>
    <x v="3"/>
    <n v="23"/>
    <n v="23220"/>
    <n v="14100"/>
    <n v="9120"/>
    <n v="0.39276485788113696"/>
    <x v="2"/>
  </r>
  <r>
    <s v="ORD00713"/>
    <s v="2025-01-28"/>
    <x v="5"/>
    <n v="2025"/>
    <x v="3"/>
    <s v="Bangalore"/>
    <x v="4"/>
    <s v="Customer_4152"/>
    <x v="0"/>
    <x v="0"/>
    <n v="15"/>
    <n v="96858"/>
    <n v="50163"/>
    <n v="46695"/>
    <n v="0.48209750356191539"/>
    <x v="0"/>
  </r>
  <r>
    <s v="ORD00714"/>
    <s v="2025-07-22"/>
    <x v="0"/>
    <n v="2025"/>
    <x v="1"/>
    <s v="Pune"/>
    <x v="6"/>
    <s v="Customer_5401"/>
    <x v="5"/>
    <x v="3"/>
    <n v="13"/>
    <n v="82689"/>
    <n v="56463"/>
    <n v="26226"/>
    <n v="0.31716431447955595"/>
    <x v="1"/>
  </r>
  <r>
    <s v="ORD00715"/>
    <s v="2025-10-05"/>
    <x v="7"/>
    <n v="2025"/>
    <x v="1"/>
    <s v="Pune"/>
    <x v="2"/>
    <s v="Customer_2834"/>
    <x v="2"/>
    <x v="0"/>
    <n v="1"/>
    <n v="86167"/>
    <n v="51935"/>
    <n v="34232"/>
    <n v="0.39727505889725767"/>
    <x v="1"/>
  </r>
  <r>
    <s v="ORD00716"/>
    <s v="2025-12-22"/>
    <x v="1"/>
    <n v="2025"/>
    <x v="3"/>
    <s v="Chennai"/>
    <x v="3"/>
    <s v="Customer_3171"/>
    <x v="5"/>
    <x v="3"/>
    <n v="5"/>
    <n v="15527"/>
    <n v="8285"/>
    <n v="7242"/>
    <n v="0.4664133444966832"/>
    <x v="3"/>
  </r>
  <r>
    <s v="ORD00717"/>
    <s v="2025-06-21"/>
    <x v="9"/>
    <n v="2025"/>
    <x v="2"/>
    <s v="Delhi"/>
    <x v="5"/>
    <s v="Customer_9643"/>
    <x v="1"/>
    <x v="0"/>
    <n v="14"/>
    <n v="74211"/>
    <n v="51973"/>
    <n v="22238"/>
    <n v="0.29965908019026827"/>
    <x v="2"/>
  </r>
  <r>
    <s v="ORD00718"/>
    <s v="2025-11-26"/>
    <x v="11"/>
    <n v="2025"/>
    <x v="1"/>
    <s v="Mumbai"/>
    <x v="4"/>
    <s v="Customer_2104"/>
    <x v="0"/>
    <x v="0"/>
    <n v="22"/>
    <n v="91159"/>
    <n v="73987"/>
    <n v="17172"/>
    <n v="0.18837415943571123"/>
    <x v="1"/>
  </r>
  <r>
    <s v="ORD00719"/>
    <s v="2025-07-31"/>
    <x v="0"/>
    <n v="2025"/>
    <x v="0"/>
    <s v="Bhubaneswar"/>
    <x v="7"/>
    <s v="Customer_7771"/>
    <x v="6"/>
    <x v="2"/>
    <n v="17"/>
    <n v="27200"/>
    <n v="15141"/>
    <n v="12059"/>
    <n v="0.44334558823529413"/>
    <x v="3"/>
  </r>
  <r>
    <s v="ORD00720"/>
    <s v="2025-09-13"/>
    <x v="6"/>
    <n v="2025"/>
    <x v="2"/>
    <s v="Delhi"/>
    <x v="3"/>
    <s v="Customer_2926"/>
    <x v="7"/>
    <x v="0"/>
    <n v="17"/>
    <n v="98630"/>
    <n v="73530"/>
    <n v="25100"/>
    <n v="0.25448646456453411"/>
    <x v="2"/>
  </r>
  <r>
    <s v="ORD00721"/>
    <s v="2025-06-21"/>
    <x v="9"/>
    <n v="2025"/>
    <x v="2"/>
    <s v="Chandigarh"/>
    <x v="0"/>
    <s v="Customer_7156"/>
    <x v="4"/>
    <x v="2"/>
    <n v="12"/>
    <n v="92861"/>
    <n v="44446"/>
    <n v="48415"/>
    <n v="0.52137065075758393"/>
    <x v="2"/>
  </r>
  <r>
    <s v="ORD00722"/>
    <s v="2025-07-09"/>
    <x v="0"/>
    <n v="2025"/>
    <x v="2"/>
    <s v="Delhi"/>
    <x v="0"/>
    <s v="Customer_8789"/>
    <x v="4"/>
    <x v="2"/>
    <n v="22"/>
    <n v="40748"/>
    <n v="18560"/>
    <n v="22188"/>
    <n v="0.54451752233238437"/>
    <x v="3"/>
  </r>
  <r>
    <s v="ORD00723"/>
    <s v="2025-11-29"/>
    <x v="11"/>
    <n v="2025"/>
    <x v="1"/>
    <s v="Mumbai"/>
    <x v="2"/>
    <s v="Customer_5064"/>
    <x v="4"/>
    <x v="2"/>
    <n v="8"/>
    <n v="80700"/>
    <n v="52315"/>
    <n v="28385"/>
    <n v="0.3517348203221809"/>
    <x v="3"/>
  </r>
  <r>
    <s v="ORD00724"/>
    <s v="2025-06-13"/>
    <x v="9"/>
    <n v="2025"/>
    <x v="3"/>
    <s v="Chennai"/>
    <x v="6"/>
    <s v="Customer_1476"/>
    <x v="7"/>
    <x v="0"/>
    <n v="19"/>
    <n v="25278"/>
    <n v="11765"/>
    <n v="13513"/>
    <n v="0.53457552021520693"/>
    <x v="2"/>
  </r>
  <r>
    <s v="ORD00725"/>
    <s v="2025-05-05"/>
    <x v="4"/>
    <n v="2025"/>
    <x v="3"/>
    <s v="Bangalore"/>
    <x v="4"/>
    <s v="Customer_6481"/>
    <x v="7"/>
    <x v="0"/>
    <n v="10"/>
    <n v="97328"/>
    <n v="73187"/>
    <n v="24141"/>
    <n v="0.24803756370212066"/>
    <x v="3"/>
  </r>
  <r>
    <s v="ORD00726"/>
    <s v="2025-01-21"/>
    <x v="5"/>
    <n v="2025"/>
    <x v="3"/>
    <s v="Bangalore"/>
    <x v="3"/>
    <s v="Customer_7779"/>
    <x v="1"/>
    <x v="0"/>
    <n v="22"/>
    <n v="67212"/>
    <n v="44790"/>
    <n v="22422"/>
    <n v="0.33360114265309765"/>
    <x v="0"/>
  </r>
  <r>
    <s v="ORD00727"/>
    <s v="2025-05-29"/>
    <x v="4"/>
    <n v="2025"/>
    <x v="0"/>
    <s v="Kolkata"/>
    <x v="3"/>
    <s v="Customer_6038"/>
    <x v="0"/>
    <x v="0"/>
    <n v="1"/>
    <n v="23069"/>
    <n v="16728"/>
    <n v="6341"/>
    <n v="0.27487103905674282"/>
    <x v="2"/>
  </r>
  <r>
    <s v="ORD00728"/>
    <s v="2025-11-18"/>
    <x v="11"/>
    <n v="2025"/>
    <x v="2"/>
    <s v="Chandigarh"/>
    <x v="4"/>
    <s v="Customer_2684"/>
    <x v="6"/>
    <x v="2"/>
    <n v="10"/>
    <n v="76253"/>
    <n v="40797"/>
    <n v="35456"/>
    <n v="0.46497842707827891"/>
    <x v="3"/>
  </r>
  <r>
    <s v="ORD00729"/>
    <s v="2025-06-30"/>
    <x v="9"/>
    <n v="2025"/>
    <x v="3"/>
    <s v="Bangalore"/>
    <x v="2"/>
    <s v="Customer_4410"/>
    <x v="1"/>
    <x v="0"/>
    <n v="10"/>
    <n v="51345"/>
    <n v="28537"/>
    <n v="22808"/>
    <n v="0.44421073132729577"/>
    <x v="1"/>
  </r>
  <r>
    <s v="ORD00731"/>
    <s v="2025-05-01"/>
    <x v="4"/>
    <n v="2025"/>
    <x v="0"/>
    <s v="Kolkata"/>
    <x v="6"/>
    <s v="Customer_5550"/>
    <x v="2"/>
    <x v="0"/>
    <n v="10"/>
    <n v="104969"/>
    <n v="57370"/>
    <n v="47599"/>
    <n v="0.4534576875077404"/>
    <x v="0"/>
  </r>
  <r>
    <s v="ORD00733"/>
    <s v="2025-03-26"/>
    <x v="2"/>
    <n v="2025"/>
    <x v="0"/>
    <s v="Kolkata"/>
    <x v="1"/>
    <s v="Customer_8256"/>
    <x v="5"/>
    <x v="3"/>
    <n v="14"/>
    <n v="45591"/>
    <n v="23439"/>
    <n v="22152"/>
    <n v="0.48588537211291705"/>
    <x v="1"/>
  </r>
  <r>
    <s v="ORD00734"/>
    <s v="2025-09-26"/>
    <x v="6"/>
    <n v="2025"/>
    <x v="0"/>
    <s v="Bhubaneswar"/>
    <x v="0"/>
    <s v="Customer_7160"/>
    <x v="0"/>
    <x v="0"/>
    <n v="8"/>
    <n v="23389"/>
    <n v="19262"/>
    <n v="4127"/>
    <n v="0.17645046816879731"/>
    <x v="2"/>
  </r>
  <r>
    <s v="ORD00735"/>
    <s v="2025-11-12"/>
    <x v="11"/>
    <n v="2025"/>
    <x v="2"/>
    <s v="Delhi"/>
    <x v="7"/>
    <s v="Customer_2924"/>
    <x v="4"/>
    <x v="2"/>
    <n v="19"/>
    <n v="5802"/>
    <n v="3558"/>
    <n v="2244"/>
    <n v="0.38676318510858326"/>
    <x v="3"/>
  </r>
  <r>
    <s v="ORD00736"/>
    <s v="2025-02-14"/>
    <x v="3"/>
    <n v="2025"/>
    <x v="2"/>
    <s v="Chandigarh"/>
    <x v="3"/>
    <s v="Customer_8051"/>
    <x v="6"/>
    <x v="2"/>
    <n v="5"/>
    <n v="97949"/>
    <n v="77218"/>
    <n v="20731"/>
    <n v="0.2116509612145096"/>
    <x v="0"/>
  </r>
  <r>
    <s v="ORD00737"/>
    <s v="2025-05-22"/>
    <x v="4"/>
    <n v="2025"/>
    <x v="3"/>
    <s v="Bangalore"/>
    <x v="5"/>
    <s v="Customer_4373"/>
    <x v="6"/>
    <x v="2"/>
    <n v="21"/>
    <n v="48712"/>
    <n v="29363"/>
    <n v="19349"/>
    <n v="0.39721218590901625"/>
    <x v="2"/>
  </r>
  <r>
    <s v="ORD00738"/>
    <s v="2025-09-23"/>
    <x v="6"/>
    <n v="2025"/>
    <x v="2"/>
    <s v="Chandigarh"/>
    <x v="4"/>
    <s v="Customer_7492"/>
    <x v="1"/>
    <x v="0"/>
    <n v="20"/>
    <n v="7334"/>
    <n v="3774"/>
    <n v="3560"/>
    <n v="0.48541041723479683"/>
    <x v="0"/>
  </r>
  <r>
    <s v="ORD00739"/>
    <s v="2025-12-18"/>
    <x v="1"/>
    <n v="2025"/>
    <x v="0"/>
    <s v="Kolkata"/>
    <x v="3"/>
    <s v="Customer_4384"/>
    <x v="2"/>
    <x v="0"/>
    <n v="9"/>
    <n v="13014"/>
    <n v="10670"/>
    <n v="2344"/>
    <n v="0.18011372368218842"/>
    <x v="3"/>
  </r>
  <r>
    <s v="ORD00740"/>
    <s v="2025-05-17"/>
    <x v="4"/>
    <n v="2025"/>
    <x v="0"/>
    <s v="Bhubaneswar"/>
    <x v="6"/>
    <s v="Customer_1034"/>
    <x v="3"/>
    <x v="1"/>
    <n v="11"/>
    <n v="52075"/>
    <n v="39510"/>
    <n v="12565"/>
    <n v="0.24128660585693712"/>
    <x v="3"/>
  </r>
  <r>
    <s v="ORD00741"/>
    <s v="2025-04-01"/>
    <x v="8"/>
    <n v="2025"/>
    <x v="0"/>
    <s v="Kolkata"/>
    <x v="1"/>
    <s v="Customer_1476"/>
    <x v="2"/>
    <x v="0"/>
    <n v="24"/>
    <n v="95676"/>
    <n v="50146"/>
    <n v="45530"/>
    <n v="0.47587691793135167"/>
    <x v="2"/>
  </r>
  <r>
    <s v="ORD00742"/>
    <s v="2025-07-06"/>
    <x v="0"/>
    <n v="2025"/>
    <x v="0"/>
    <s v="Bhubaneswar"/>
    <x v="2"/>
    <s v="Customer_4840"/>
    <x v="5"/>
    <x v="3"/>
    <n v="14"/>
    <n v="56557"/>
    <n v="34639"/>
    <n v="21918"/>
    <n v="0.38753823576215146"/>
    <x v="0"/>
  </r>
  <r>
    <s v="ORD00743"/>
    <s v="2025-12-23"/>
    <x v="1"/>
    <n v="2025"/>
    <x v="0"/>
    <s v="Bhubaneswar"/>
    <x v="1"/>
    <s v="Customer_6457"/>
    <x v="2"/>
    <x v="0"/>
    <n v="4"/>
    <n v="112108"/>
    <n v="51381"/>
    <n v="60727"/>
    <n v="0.54168301994505297"/>
    <x v="1"/>
  </r>
  <r>
    <s v="ORD00744"/>
    <s v="2025-08-15"/>
    <x v="10"/>
    <n v="2025"/>
    <x v="0"/>
    <s v="Bhubaneswar"/>
    <x v="3"/>
    <s v="Customer_9443"/>
    <x v="4"/>
    <x v="2"/>
    <n v="6"/>
    <n v="36574"/>
    <n v="30356"/>
    <n v="6218"/>
    <n v="0.17001148356756166"/>
    <x v="0"/>
  </r>
  <r>
    <s v="ORD00746"/>
    <s v="2025-01-26"/>
    <x v="5"/>
    <n v="2025"/>
    <x v="3"/>
    <s v="Bangalore"/>
    <x v="7"/>
    <s v="Customer_2710"/>
    <x v="4"/>
    <x v="2"/>
    <n v="16"/>
    <n v="82009"/>
    <n v="67073"/>
    <n v="14936"/>
    <n v="0.18212635198575766"/>
    <x v="0"/>
  </r>
  <r>
    <s v="ORD00747"/>
    <s v="2025-01-01"/>
    <x v="5"/>
    <n v="2025"/>
    <x v="1"/>
    <s v="Mumbai"/>
    <x v="0"/>
    <s v="Customer_6172"/>
    <x v="0"/>
    <x v="0"/>
    <n v="23"/>
    <n v="35328"/>
    <n v="24965"/>
    <n v="10363"/>
    <n v="0.29333673007246375"/>
    <x v="0"/>
  </r>
  <r>
    <s v="ORD00748"/>
    <s v="2025-12-01"/>
    <x v="1"/>
    <n v="2025"/>
    <x v="2"/>
    <s v="Delhi"/>
    <x v="4"/>
    <s v="Customer_5345"/>
    <x v="4"/>
    <x v="2"/>
    <n v="13"/>
    <n v="97187"/>
    <n v="61174"/>
    <n v="36013"/>
    <n v="0.37055367487421159"/>
    <x v="1"/>
  </r>
  <r>
    <s v="ORD00749"/>
    <s v="2025-02-08"/>
    <x v="3"/>
    <n v="2025"/>
    <x v="2"/>
    <s v="Delhi"/>
    <x v="3"/>
    <s v="Customer_1616"/>
    <x v="5"/>
    <x v="3"/>
    <n v="19"/>
    <n v="94323"/>
    <n v="49444"/>
    <n v="44879"/>
    <n v="0.47580123617781456"/>
    <x v="3"/>
  </r>
  <r>
    <s v="ORD00750"/>
    <s v="2025-12-21"/>
    <x v="1"/>
    <n v="2025"/>
    <x v="0"/>
    <s v="Kolkata"/>
    <x v="0"/>
    <s v="Customer_4388"/>
    <x v="0"/>
    <x v="0"/>
    <n v="9"/>
    <n v="36913"/>
    <n v="23833"/>
    <n v="13080"/>
    <n v="0.3543467071221521"/>
    <x v="1"/>
  </r>
  <r>
    <s v="ORD00751"/>
    <s v="2025-11-19"/>
    <x v="11"/>
    <n v="2025"/>
    <x v="0"/>
    <s v="Kolkata"/>
    <x v="5"/>
    <s v="Customer_8286"/>
    <x v="2"/>
    <x v="0"/>
    <n v="2"/>
    <n v="67472"/>
    <n v="38924"/>
    <n v="28548"/>
    <n v="0.423108845150581"/>
    <x v="0"/>
  </r>
  <r>
    <s v="ORD00752"/>
    <s v="2025-04-04"/>
    <x v="8"/>
    <n v="2025"/>
    <x v="3"/>
    <s v="Bangalore"/>
    <x v="0"/>
    <s v="Customer_3601"/>
    <x v="7"/>
    <x v="0"/>
    <n v="2"/>
    <n v="114111"/>
    <n v="96234"/>
    <n v="17877"/>
    <n v="0.15666324894181979"/>
    <x v="0"/>
  </r>
  <r>
    <s v="ORD00753"/>
    <s v="2025-05-12"/>
    <x v="4"/>
    <n v="2025"/>
    <x v="3"/>
    <s v="Bangalore"/>
    <x v="5"/>
    <s v="Customer_3325"/>
    <x v="0"/>
    <x v="0"/>
    <n v="2"/>
    <n v="103725"/>
    <n v="50622"/>
    <n v="53103"/>
    <n v="0.51195950831525672"/>
    <x v="0"/>
  </r>
  <r>
    <s v="ORD00754"/>
    <s v="2025-11-23"/>
    <x v="11"/>
    <n v="2025"/>
    <x v="2"/>
    <s v="Chandigarh"/>
    <x v="1"/>
    <s v="Customer_6201"/>
    <x v="4"/>
    <x v="2"/>
    <n v="14"/>
    <n v="18576"/>
    <n v="14342"/>
    <n v="4234"/>
    <n v="0.2279285099052541"/>
    <x v="1"/>
  </r>
  <r>
    <s v="ORD00755"/>
    <s v="2025-02-27"/>
    <x v="3"/>
    <n v="2025"/>
    <x v="1"/>
    <s v="Pune"/>
    <x v="3"/>
    <s v="Customer_6582"/>
    <x v="4"/>
    <x v="2"/>
    <n v="10"/>
    <n v="80130"/>
    <n v="59381"/>
    <n v="20749"/>
    <n v="0.25894171970547858"/>
    <x v="2"/>
  </r>
  <r>
    <s v="ORD00756"/>
    <s v="2025-08-20"/>
    <x v="10"/>
    <n v="2025"/>
    <x v="0"/>
    <s v="Kolkata"/>
    <x v="2"/>
    <s v="Customer_3286"/>
    <x v="0"/>
    <x v="0"/>
    <n v="19"/>
    <n v="85290"/>
    <n v="63984"/>
    <n v="21306"/>
    <n v="0.24980654238480479"/>
    <x v="2"/>
  </r>
  <r>
    <s v="ORD00757"/>
    <s v="2025-07-18"/>
    <x v="0"/>
    <n v="2025"/>
    <x v="2"/>
    <s v="Chandigarh"/>
    <x v="3"/>
    <s v="Customer_3889"/>
    <x v="3"/>
    <x v="1"/>
    <n v="5"/>
    <n v="110165"/>
    <n v="64529"/>
    <n v="45636"/>
    <n v="0.41425135024735626"/>
    <x v="2"/>
  </r>
  <r>
    <s v="ORD00758"/>
    <s v="2025-04-05"/>
    <x v="8"/>
    <n v="2025"/>
    <x v="2"/>
    <s v="Delhi"/>
    <x v="7"/>
    <s v="Customer_9504"/>
    <x v="0"/>
    <x v="0"/>
    <n v="6"/>
    <n v="99147"/>
    <n v="78818"/>
    <n v="20329"/>
    <n v="0.2050389825209033"/>
    <x v="1"/>
  </r>
  <r>
    <s v="ORD00759"/>
    <s v="2025-11-05"/>
    <x v="11"/>
    <n v="2025"/>
    <x v="3"/>
    <s v="Chennai"/>
    <x v="6"/>
    <s v="Customer_8031"/>
    <x v="6"/>
    <x v="2"/>
    <n v="14"/>
    <n v="22807"/>
    <n v="19381"/>
    <n v="3426"/>
    <n v="0.15021703862849126"/>
    <x v="3"/>
  </r>
  <r>
    <s v="ORD00760"/>
    <s v="2025-08-31"/>
    <x v="10"/>
    <n v="2025"/>
    <x v="1"/>
    <s v="Pune"/>
    <x v="7"/>
    <s v="Customer_3113"/>
    <x v="5"/>
    <x v="3"/>
    <n v="5"/>
    <n v="101756"/>
    <n v="60597"/>
    <n v="41159"/>
    <n v="0.4044872046857188"/>
    <x v="0"/>
  </r>
  <r>
    <s v="ORD00761"/>
    <s v="2025-07-05"/>
    <x v="0"/>
    <n v="2025"/>
    <x v="2"/>
    <s v="Chandigarh"/>
    <x v="2"/>
    <s v="Customer_9915"/>
    <x v="2"/>
    <x v="0"/>
    <n v="1"/>
    <n v="67443"/>
    <n v="57323"/>
    <n v="10120"/>
    <n v="0.15005263704164998"/>
    <x v="2"/>
  </r>
  <r>
    <s v="ORD00762"/>
    <s v="2025-07-10"/>
    <x v="0"/>
    <n v="2025"/>
    <x v="3"/>
    <s v="Chennai"/>
    <x v="3"/>
    <s v="Customer_6862"/>
    <x v="0"/>
    <x v="0"/>
    <n v="18"/>
    <n v="83821"/>
    <n v="46494"/>
    <n v="37327"/>
    <n v="0.44531799906944558"/>
    <x v="1"/>
  </r>
  <r>
    <s v="ORD00763"/>
    <s v="2025-08-16"/>
    <x v="10"/>
    <n v="2025"/>
    <x v="2"/>
    <s v="Chandigarh"/>
    <x v="5"/>
    <s v="Customer_1490"/>
    <x v="2"/>
    <x v="0"/>
    <n v="13"/>
    <n v="61820"/>
    <n v="46745"/>
    <n v="15075"/>
    <n v="0.24385312196700096"/>
    <x v="3"/>
  </r>
  <r>
    <s v="ORD00764"/>
    <s v="2025-08-07"/>
    <x v="10"/>
    <n v="2025"/>
    <x v="0"/>
    <s v="Kolkata"/>
    <x v="6"/>
    <s v="Customer_3423"/>
    <x v="7"/>
    <x v="0"/>
    <n v="15"/>
    <n v="29711"/>
    <n v="16234"/>
    <n v="13477"/>
    <n v="0.45360304264413853"/>
    <x v="0"/>
  </r>
  <r>
    <s v="ORD00765"/>
    <s v="2025-04-21"/>
    <x v="8"/>
    <n v="2025"/>
    <x v="1"/>
    <s v="Pune"/>
    <x v="6"/>
    <s v="Customer_3512"/>
    <x v="1"/>
    <x v="0"/>
    <n v="11"/>
    <n v="106782"/>
    <n v="87508"/>
    <n v="19274"/>
    <n v="0.18049858590399132"/>
    <x v="3"/>
  </r>
  <r>
    <s v="ORD00766"/>
    <s v="2025-03-07"/>
    <x v="2"/>
    <n v="2025"/>
    <x v="0"/>
    <s v="Kolkata"/>
    <x v="2"/>
    <s v="Customer_3347"/>
    <x v="3"/>
    <x v="1"/>
    <n v="24"/>
    <n v="93141"/>
    <n v="58900"/>
    <n v="34241"/>
    <n v="0.36762542811436422"/>
    <x v="3"/>
  </r>
  <r>
    <s v="ORD00767"/>
    <s v="2025-06-09"/>
    <x v="9"/>
    <n v="2025"/>
    <x v="1"/>
    <s v="Pune"/>
    <x v="5"/>
    <s v="Customer_2854"/>
    <x v="0"/>
    <x v="0"/>
    <n v="23"/>
    <n v="45459"/>
    <n v="35079"/>
    <n v="10380"/>
    <n v="0.22833762291295454"/>
    <x v="2"/>
  </r>
  <r>
    <s v="ORD00768"/>
    <s v="2025-05-31"/>
    <x v="4"/>
    <n v="2025"/>
    <x v="2"/>
    <s v="Chandigarh"/>
    <x v="7"/>
    <s v="Customer_2815"/>
    <x v="6"/>
    <x v="2"/>
    <n v="21"/>
    <n v="28475"/>
    <n v="16009"/>
    <n v="12466"/>
    <n v="0.43778753292361722"/>
    <x v="2"/>
  </r>
  <r>
    <s v="ORD00769"/>
    <s v="2025-03-20"/>
    <x v="2"/>
    <n v="2025"/>
    <x v="3"/>
    <s v="Bangalore"/>
    <x v="5"/>
    <s v="Customer_1999"/>
    <x v="4"/>
    <x v="2"/>
    <n v="21"/>
    <n v="84661"/>
    <n v="52809"/>
    <n v="31852"/>
    <n v="0.37622990515113214"/>
    <x v="2"/>
  </r>
  <r>
    <s v="ORD00770"/>
    <s v="2025-10-14"/>
    <x v="7"/>
    <n v="2025"/>
    <x v="0"/>
    <s v="Kolkata"/>
    <x v="1"/>
    <s v="Customer_7660"/>
    <x v="0"/>
    <x v="0"/>
    <n v="1"/>
    <n v="3324"/>
    <n v="1989"/>
    <n v="1335"/>
    <n v="0.40162454873646208"/>
    <x v="3"/>
  </r>
  <r>
    <s v="ORD00771"/>
    <s v="2025-12-01"/>
    <x v="1"/>
    <n v="2025"/>
    <x v="2"/>
    <s v="Delhi"/>
    <x v="6"/>
    <s v="Customer_2006"/>
    <x v="2"/>
    <x v="0"/>
    <n v="19"/>
    <n v="30542"/>
    <n v="19098"/>
    <n v="11444"/>
    <n v="0.3746971383668391"/>
    <x v="2"/>
  </r>
  <r>
    <s v="ORD00772"/>
    <s v="2025-10-17"/>
    <x v="7"/>
    <n v="2025"/>
    <x v="0"/>
    <s v="Kolkata"/>
    <x v="3"/>
    <s v="Customer_7896"/>
    <x v="1"/>
    <x v="0"/>
    <n v="24"/>
    <n v="108417"/>
    <n v="85145"/>
    <n v="23272"/>
    <n v="0.21465268361972753"/>
    <x v="3"/>
  </r>
  <r>
    <s v="ORD00773"/>
    <s v="2025-02-14"/>
    <x v="3"/>
    <n v="2025"/>
    <x v="3"/>
    <s v="Chennai"/>
    <x v="0"/>
    <s v="Customer_3159"/>
    <x v="1"/>
    <x v="0"/>
    <n v="16"/>
    <n v="72082"/>
    <n v="49522"/>
    <n v="22560"/>
    <n v="0.31297688743375601"/>
    <x v="3"/>
  </r>
  <r>
    <s v="ORD00774"/>
    <s v="2025-03-23"/>
    <x v="2"/>
    <n v="2025"/>
    <x v="3"/>
    <s v="Chennai"/>
    <x v="0"/>
    <s v="Customer_7898"/>
    <x v="1"/>
    <x v="0"/>
    <n v="24"/>
    <n v="112416"/>
    <n v="91678"/>
    <n v="20738"/>
    <n v="0.1844755194990037"/>
    <x v="3"/>
  </r>
  <r>
    <s v="ORD00775"/>
    <s v="2025-02-26"/>
    <x v="3"/>
    <n v="2025"/>
    <x v="3"/>
    <s v="Chennai"/>
    <x v="5"/>
    <s v="Customer_5084"/>
    <x v="5"/>
    <x v="3"/>
    <n v="9"/>
    <n v="108893"/>
    <n v="89200"/>
    <n v="19693"/>
    <n v="0.18084725372613483"/>
    <x v="0"/>
  </r>
  <r>
    <s v="ORD00776"/>
    <s v="2025-05-04"/>
    <x v="4"/>
    <n v="2025"/>
    <x v="3"/>
    <s v="Chennai"/>
    <x v="5"/>
    <s v="Customer_4669"/>
    <x v="7"/>
    <x v="0"/>
    <n v="11"/>
    <n v="71887"/>
    <n v="44753"/>
    <n v="27134"/>
    <n v="0.37745350341508199"/>
    <x v="3"/>
  </r>
  <r>
    <s v="ORD00777"/>
    <s v="2025-03-27"/>
    <x v="2"/>
    <n v="2025"/>
    <x v="3"/>
    <s v="Chennai"/>
    <x v="6"/>
    <s v="Customer_8027"/>
    <x v="8"/>
    <x v="4"/>
    <n v="7"/>
    <n v="107551"/>
    <n v="87823"/>
    <n v="19728"/>
    <n v="0.18342925681769578"/>
    <x v="3"/>
  </r>
  <r>
    <s v="ORD00778"/>
    <s v="2025-02-22"/>
    <x v="3"/>
    <n v="2025"/>
    <x v="0"/>
    <s v="Bhubaneswar"/>
    <x v="3"/>
    <s v="Customer_1858"/>
    <x v="3"/>
    <x v="1"/>
    <n v="16"/>
    <n v="114800"/>
    <n v="65949"/>
    <n v="48851"/>
    <n v="0.42553135888501742"/>
    <x v="1"/>
  </r>
  <r>
    <s v="ORD00779"/>
    <s v="2025-07-31"/>
    <x v="0"/>
    <n v="2025"/>
    <x v="3"/>
    <s v="Chennai"/>
    <x v="4"/>
    <s v="Customer_8584"/>
    <x v="7"/>
    <x v="0"/>
    <n v="23"/>
    <n v="61708"/>
    <n v="52255"/>
    <n v="9453"/>
    <n v="0.15318921371621183"/>
    <x v="2"/>
  </r>
  <r>
    <s v="ORD00780"/>
    <s v="2025-09-15"/>
    <x v="6"/>
    <n v="2025"/>
    <x v="2"/>
    <s v="Chandigarh"/>
    <x v="5"/>
    <s v="Customer_4596"/>
    <x v="8"/>
    <x v="4"/>
    <n v="8"/>
    <n v="61193"/>
    <n v="35438"/>
    <n v="25755"/>
    <n v="0.42088147337113724"/>
    <x v="0"/>
  </r>
  <r>
    <s v="ORD00781"/>
    <s v="2025-10-06"/>
    <x v="7"/>
    <n v="2025"/>
    <x v="1"/>
    <s v="Mumbai"/>
    <x v="1"/>
    <s v="Customer_7034"/>
    <x v="2"/>
    <x v="0"/>
    <n v="10"/>
    <n v="39917"/>
    <n v="20164"/>
    <n v="19753"/>
    <n v="0.49485181752135682"/>
    <x v="2"/>
  </r>
  <r>
    <s v="ORD00782"/>
    <s v="2025-01-11"/>
    <x v="5"/>
    <n v="2025"/>
    <x v="2"/>
    <s v="Delhi"/>
    <x v="4"/>
    <s v="Customer_2095"/>
    <x v="0"/>
    <x v="0"/>
    <n v="24"/>
    <n v="34373"/>
    <n v="21253"/>
    <n v="13120"/>
    <n v="0.38169493497803508"/>
    <x v="3"/>
  </r>
  <r>
    <s v="ORD00783"/>
    <s v="2025-09-21"/>
    <x v="6"/>
    <n v="2025"/>
    <x v="3"/>
    <s v="Chennai"/>
    <x v="5"/>
    <s v="Customer_4407"/>
    <x v="3"/>
    <x v="1"/>
    <n v="20"/>
    <n v="4260"/>
    <n v="3433"/>
    <n v="827"/>
    <n v="0.19413145539906104"/>
    <x v="1"/>
  </r>
  <r>
    <s v="ORD00784"/>
    <s v="2025-06-25"/>
    <x v="9"/>
    <n v="2025"/>
    <x v="1"/>
    <s v="Pune"/>
    <x v="1"/>
    <s v="Customer_7340"/>
    <x v="5"/>
    <x v="3"/>
    <n v="25"/>
    <n v="93691"/>
    <n v="76780"/>
    <n v="16911"/>
    <n v="0.18049759315195696"/>
    <x v="2"/>
  </r>
  <r>
    <s v="ORD00785"/>
    <s v="2025-09-24"/>
    <x v="6"/>
    <n v="2025"/>
    <x v="3"/>
    <s v="Bangalore"/>
    <x v="5"/>
    <s v="Customer_2662"/>
    <x v="1"/>
    <x v="0"/>
    <n v="21"/>
    <n v="79237"/>
    <n v="49533"/>
    <n v="29704"/>
    <n v="0.37487537387836489"/>
    <x v="1"/>
  </r>
  <r>
    <s v="ORD00786"/>
    <s v="2025-09-29"/>
    <x v="6"/>
    <n v="2025"/>
    <x v="2"/>
    <s v="Delhi"/>
    <x v="7"/>
    <s v="Customer_7367"/>
    <x v="3"/>
    <x v="1"/>
    <n v="16"/>
    <n v="106254"/>
    <n v="52771"/>
    <n v="53483"/>
    <n v="0.50335046210025036"/>
    <x v="3"/>
  </r>
  <r>
    <s v="ORD00787"/>
    <s v="2025-10-27"/>
    <x v="7"/>
    <n v="2025"/>
    <x v="0"/>
    <s v="Bhubaneswar"/>
    <x v="1"/>
    <s v="Customer_9577"/>
    <x v="2"/>
    <x v="0"/>
    <n v="24"/>
    <n v="42428"/>
    <n v="27938"/>
    <n v="14490"/>
    <n v="0.34151975110775901"/>
    <x v="1"/>
  </r>
  <r>
    <s v="ORD00788"/>
    <s v="2025-09-28"/>
    <x v="6"/>
    <n v="2025"/>
    <x v="2"/>
    <s v="Chandigarh"/>
    <x v="1"/>
    <s v="Customer_8536"/>
    <x v="8"/>
    <x v="4"/>
    <n v="20"/>
    <n v="53101"/>
    <n v="35397"/>
    <n v="17704"/>
    <n v="0.33340238413589196"/>
    <x v="0"/>
  </r>
  <r>
    <s v="ORD00789"/>
    <s v="2025-04-29"/>
    <x v="8"/>
    <n v="2025"/>
    <x v="3"/>
    <s v="Chennai"/>
    <x v="7"/>
    <s v="Customer_6973"/>
    <x v="8"/>
    <x v="4"/>
    <n v="13"/>
    <n v="104160"/>
    <n v="78353"/>
    <n v="25807"/>
    <n v="0.24776305683563749"/>
    <x v="3"/>
  </r>
  <r>
    <s v="ORD00790"/>
    <s v="2025-08-27"/>
    <x v="10"/>
    <n v="2025"/>
    <x v="2"/>
    <s v="Delhi"/>
    <x v="2"/>
    <s v="Customer_3652"/>
    <x v="6"/>
    <x v="2"/>
    <n v="22"/>
    <n v="98443"/>
    <n v="75341"/>
    <n v="23102"/>
    <n v="0.23467387218999827"/>
    <x v="3"/>
  </r>
  <r>
    <s v="ORD00791"/>
    <s v="2025-03-01"/>
    <x v="2"/>
    <n v="2025"/>
    <x v="0"/>
    <s v="Kolkata"/>
    <x v="5"/>
    <s v="Customer_3570"/>
    <x v="2"/>
    <x v="0"/>
    <n v="13"/>
    <n v="32862"/>
    <n v="23696"/>
    <n v="9166"/>
    <n v="0.27892398515002131"/>
    <x v="1"/>
  </r>
  <r>
    <s v="ORD00792"/>
    <s v="2025-09-13"/>
    <x v="6"/>
    <n v="2025"/>
    <x v="3"/>
    <s v="Bangalore"/>
    <x v="2"/>
    <s v="Customer_9392"/>
    <x v="6"/>
    <x v="2"/>
    <n v="24"/>
    <n v="11989"/>
    <n v="9917"/>
    <n v="2072"/>
    <n v="0.17282508966552673"/>
    <x v="2"/>
  </r>
  <r>
    <s v="ORD00793"/>
    <s v="2025-01-11"/>
    <x v="5"/>
    <n v="2025"/>
    <x v="0"/>
    <s v="Bhubaneswar"/>
    <x v="5"/>
    <s v="Customer_9627"/>
    <x v="2"/>
    <x v="0"/>
    <n v="16"/>
    <n v="20319"/>
    <n v="15347"/>
    <n v="4972"/>
    <n v="0.24469708154928885"/>
    <x v="0"/>
  </r>
  <r>
    <s v="ORD00794"/>
    <s v="2025-03-27"/>
    <x v="2"/>
    <n v="2025"/>
    <x v="3"/>
    <s v="Chennai"/>
    <x v="5"/>
    <s v="Customer_6854"/>
    <x v="8"/>
    <x v="4"/>
    <n v="21"/>
    <n v="74028"/>
    <n v="57743"/>
    <n v="16285"/>
    <n v="0.21998433025341763"/>
    <x v="0"/>
  </r>
  <r>
    <s v="ORD00795"/>
    <s v="2025-08-20"/>
    <x v="10"/>
    <n v="2025"/>
    <x v="2"/>
    <s v="Chandigarh"/>
    <x v="3"/>
    <s v="Customer_4266"/>
    <x v="1"/>
    <x v="0"/>
    <n v="4"/>
    <n v="14681"/>
    <n v="8316"/>
    <n v="6365"/>
    <n v="0.43355357264491517"/>
    <x v="0"/>
  </r>
  <r>
    <s v="ORD00796"/>
    <s v="2025-02-05"/>
    <x v="3"/>
    <n v="2025"/>
    <x v="1"/>
    <s v="Mumbai"/>
    <x v="4"/>
    <s v="Customer_5181"/>
    <x v="2"/>
    <x v="0"/>
    <n v="21"/>
    <n v="37137"/>
    <n v="19090"/>
    <n v="18047"/>
    <n v="0.48595740097476908"/>
    <x v="2"/>
  </r>
  <r>
    <s v="ORD00797"/>
    <s v="2025-07-15"/>
    <x v="0"/>
    <n v="2025"/>
    <x v="1"/>
    <s v="Pune"/>
    <x v="2"/>
    <s v="Customer_7211"/>
    <x v="1"/>
    <x v="0"/>
    <n v="8"/>
    <n v="40469"/>
    <n v="27407"/>
    <n v="13062"/>
    <n v="0.32276557364896585"/>
    <x v="1"/>
  </r>
  <r>
    <s v="ORD00799"/>
    <s v="2025-08-03"/>
    <x v="10"/>
    <n v="2025"/>
    <x v="2"/>
    <s v="Chandigarh"/>
    <x v="2"/>
    <s v="Customer_5891"/>
    <x v="8"/>
    <x v="4"/>
    <n v="6"/>
    <n v="49740"/>
    <n v="35722"/>
    <n v="14018"/>
    <n v="0.28182549256131884"/>
    <x v="3"/>
  </r>
  <r>
    <s v="ORD00800"/>
    <s v="2025-09-25"/>
    <x v="6"/>
    <n v="2025"/>
    <x v="3"/>
    <s v="Chennai"/>
    <x v="5"/>
    <s v="Customer_3561"/>
    <x v="4"/>
    <x v="2"/>
    <n v="13"/>
    <n v="73059"/>
    <n v="58445"/>
    <n v="14614"/>
    <n v="0.2000301126486812"/>
    <x v="0"/>
  </r>
  <r>
    <s v="ORD00801"/>
    <s v="2025-04-11"/>
    <x v="8"/>
    <n v="2025"/>
    <x v="3"/>
    <s v="Bangalore"/>
    <x v="5"/>
    <s v="Customer_8422"/>
    <x v="7"/>
    <x v="0"/>
    <n v="6"/>
    <n v="13156"/>
    <n v="6286"/>
    <n v="6870"/>
    <n v="0.52219519610823961"/>
    <x v="0"/>
  </r>
  <r>
    <s v="ORD00802"/>
    <s v="2025-08-14"/>
    <x v="10"/>
    <n v="2025"/>
    <x v="3"/>
    <s v="Chennai"/>
    <x v="0"/>
    <s v="Customer_4261"/>
    <x v="3"/>
    <x v="1"/>
    <n v="5"/>
    <n v="61923"/>
    <n v="36471"/>
    <n v="25452"/>
    <n v="0.41102659754856841"/>
    <x v="0"/>
  </r>
  <r>
    <s v="ORD00803"/>
    <s v="2025-08-23"/>
    <x v="10"/>
    <n v="2025"/>
    <x v="0"/>
    <s v="Bhubaneswar"/>
    <x v="5"/>
    <s v="Customer_3895"/>
    <x v="4"/>
    <x v="2"/>
    <n v="1"/>
    <n v="32572"/>
    <n v="16307"/>
    <n v="16265"/>
    <n v="0.49935527446886896"/>
    <x v="2"/>
  </r>
  <r>
    <s v="ORD00804"/>
    <s v="2025-06-16"/>
    <x v="9"/>
    <n v="2025"/>
    <x v="2"/>
    <s v="Chandigarh"/>
    <x v="1"/>
    <s v="Customer_8455"/>
    <x v="8"/>
    <x v="4"/>
    <n v="13"/>
    <n v="85201"/>
    <n v="42806"/>
    <n v="42395"/>
    <n v="0.49758805647821036"/>
    <x v="0"/>
  </r>
  <r>
    <s v="ORD00805"/>
    <s v="2025-01-25"/>
    <x v="5"/>
    <n v="2025"/>
    <x v="1"/>
    <s v="Mumbai"/>
    <x v="3"/>
    <s v="Customer_5441"/>
    <x v="1"/>
    <x v="0"/>
    <n v="24"/>
    <n v="56643"/>
    <n v="32372"/>
    <n v="24271"/>
    <n v="0.4284907225959077"/>
    <x v="1"/>
  </r>
  <r>
    <s v="ORD00806"/>
    <s v="2025-05-29"/>
    <x v="4"/>
    <n v="2025"/>
    <x v="3"/>
    <s v="Chennai"/>
    <x v="1"/>
    <s v="Customer_1860"/>
    <x v="6"/>
    <x v="2"/>
    <n v="8"/>
    <n v="63736"/>
    <n v="31946"/>
    <n v="31790"/>
    <n v="0.49877620183255933"/>
    <x v="0"/>
  </r>
  <r>
    <s v="ORD00807"/>
    <s v="2025-01-01"/>
    <x v="5"/>
    <n v="2025"/>
    <x v="2"/>
    <s v="Delhi"/>
    <x v="6"/>
    <s v="Customer_8341"/>
    <x v="4"/>
    <x v="2"/>
    <n v="1"/>
    <n v="21209"/>
    <n v="9784"/>
    <n v="11425"/>
    <n v="0.53868640671413082"/>
    <x v="1"/>
  </r>
  <r>
    <s v="ORD00808"/>
    <s v="2025-11-15"/>
    <x v="11"/>
    <n v="2025"/>
    <x v="2"/>
    <s v="Delhi"/>
    <x v="6"/>
    <s v="Customer_7703"/>
    <x v="6"/>
    <x v="2"/>
    <n v="21"/>
    <n v="93090"/>
    <n v="75486"/>
    <n v="17604"/>
    <n v="0.18910731550112794"/>
    <x v="0"/>
  </r>
  <r>
    <s v="ORD00809"/>
    <s v="2025-10-19"/>
    <x v="7"/>
    <n v="2025"/>
    <x v="3"/>
    <s v="Bangalore"/>
    <x v="7"/>
    <s v="Customer_6526"/>
    <x v="4"/>
    <x v="2"/>
    <n v="14"/>
    <n v="109418"/>
    <n v="82307"/>
    <n v="27111"/>
    <n v="0.24777458919007841"/>
    <x v="1"/>
  </r>
  <r>
    <s v="ORD00811"/>
    <s v="2025-07-03"/>
    <x v="0"/>
    <n v="2025"/>
    <x v="0"/>
    <s v="Kolkata"/>
    <x v="3"/>
    <s v="Customer_4147"/>
    <x v="3"/>
    <x v="1"/>
    <n v="10"/>
    <n v="115073"/>
    <n v="70473"/>
    <n v="44600"/>
    <n v="0.38758005787630462"/>
    <x v="3"/>
  </r>
  <r>
    <s v="ORD00812"/>
    <s v="2025-02-11"/>
    <x v="3"/>
    <n v="2025"/>
    <x v="2"/>
    <s v="Chandigarh"/>
    <x v="7"/>
    <s v="Customer_2859"/>
    <x v="1"/>
    <x v="0"/>
    <n v="25"/>
    <n v="75738"/>
    <n v="47499"/>
    <n v="28239"/>
    <n v="0.37285114473579972"/>
    <x v="2"/>
  </r>
  <r>
    <s v="ORD00813"/>
    <s v="2025-01-13"/>
    <x v="5"/>
    <n v="2025"/>
    <x v="0"/>
    <s v="Bhubaneswar"/>
    <x v="3"/>
    <s v="Customer_4342"/>
    <x v="4"/>
    <x v="2"/>
    <n v="18"/>
    <n v="46356"/>
    <n v="23551"/>
    <n v="22805"/>
    <n v="0.49195357666752954"/>
    <x v="1"/>
  </r>
  <r>
    <s v="ORD00814"/>
    <s v="2025-06-04"/>
    <x v="9"/>
    <n v="2025"/>
    <x v="2"/>
    <s v="Chandigarh"/>
    <x v="1"/>
    <s v="Customer_4311"/>
    <x v="3"/>
    <x v="1"/>
    <n v="7"/>
    <n v="106099"/>
    <n v="51625"/>
    <n v="54474"/>
    <n v="0.51342613973741502"/>
    <x v="1"/>
  </r>
  <r>
    <s v="ORD00815"/>
    <s v="2025-02-03"/>
    <x v="3"/>
    <n v="2025"/>
    <x v="3"/>
    <s v="Chennai"/>
    <x v="5"/>
    <s v="Customer_5679"/>
    <x v="4"/>
    <x v="2"/>
    <n v="2"/>
    <n v="27166"/>
    <n v="18421"/>
    <n v="8745"/>
    <n v="0.3219097401163219"/>
    <x v="0"/>
  </r>
  <r>
    <s v="ORD00816"/>
    <s v="2025-04-14"/>
    <x v="8"/>
    <n v="2025"/>
    <x v="0"/>
    <s v="Bhubaneswar"/>
    <x v="7"/>
    <s v="Customer_3193"/>
    <x v="0"/>
    <x v="0"/>
    <n v="8"/>
    <n v="91570"/>
    <n v="63714"/>
    <n v="27856"/>
    <n v="0.3042044337665174"/>
    <x v="0"/>
  </r>
  <r>
    <s v="ORD00818"/>
    <s v="2025-09-30"/>
    <x v="6"/>
    <n v="2025"/>
    <x v="1"/>
    <s v="Mumbai"/>
    <x v="4"/>
    <s v="Customer_3721"/>
    <x v="6"/>
    <x v="2"/>
    <n v="4"/>
    <n v="13260"/>
    <n v="11063"/>
    <n v="2197"/>
    <n v="0.16568627450980392"/>
    <x v="3"/>
  </r>
  <r>
    <s v="ORD00819"/>
    <s v="2025-10-06"/>
    <x v="7"/>
    <n v="2025"/>
    <x v="3"/>
    <s v="Chennai"/>
    <x v="0"/>
    <s v="Customer_1076"/>
    <x v="4"/>
    <x v="2"/>
    <n v="20"/>
    <n v="57175"/>
    <n v="46001"/>
    <n v="11174"/>
    <n v="0.19543506777437691"/>
    <x v="2"/>
  </r>
  <r>
    <s v="ORD00820"/>
    <s v="2025-07-31"/>
    <x v="0"/>
    <n v="2025"/>
    <x v="2"/>
    <s v="Delhi"/>
    <x v="6"/>
    <s v="Customer_7868"/>
    <x v="2"/>
    <x v="0"/>
    <n v="25"/>
    <n v="5724"/>
    <n v="4110"/>
    <n v="1614"/>
    <n v="0.28197064989517817"/>
    <x v="3"/>
  </r>
  <r>
    <s v="ORD00821"/>
    <s v="2025-04-05"/>
    <x v="8"/>
    <n v="2025"/>
    <x v="2"/>
    <s v="Chandigarh"/>
    <x v="4"/>
    <s v="Customer_5068"/>
    <x v="5"/>
    <x v="3"/>
    <n v="24"/>
    <n v="27235"/>
    <n v="19302"/>
    <n v="7933"/>
    <n v="0.29127960345144116"/>
    <x v="0"/>
  </r>
  <r>
    <s v="ORD00822"/>
    <s v="2025-08-20"/>
    <x v="10"/>
    <n v="2025"/>
    <x v="2"/>
    <s v="Delhi"/>
    <x v="0"/>
    <s v="Customer_8617"/>
    <x v="1"/>
    <x v="0"/>
    <n v="13"/>
    <n v="7638"/>
    <n v="3438"/>
    <n v="4200"/>
    <n v="0.54988216810683421"/>
    <x v="2"/>
  </r>
  <r>
    <s v="ORD00823"/>
    <s v="2025-02-09"/>
    <x v="3"/>
    <n v="2025"/>
    <x v="0"/>
    <s v="Bhubaneswar"/>
    <x v="0"/>
    <s v="Customer_9739"/>
    <x v="6"/>
    <x v="2"/>
    <n v="8"/>
    <n v="94494"/>
    <n v="55396"/>
    <n v="39098"/>
    <n v="0.41376172032086694"/>
    <x v="3"/>
  </r>
  <r>
    <s v="ORD00825"/>
    <s v="2025-02-02"/>
    <x v="3"/>
    <n v="2025"/>
    <x v="1"/>
    <s v="Pune"/>
    <x v="4"/>
    <s v="Customer_2048"/>
    <x v="5"/>
    <x v="3"/>
    <n v="12"/>
    <n v="115581"/>
    <n v="61316"/>
    <n v="54265"/>
    <n v="0.46949758178247292"/>
    <x v="2"/>
  </r>
  <r>
    <s v="ORD00826"/>
    <s v="2025-05-29"/>
    <x v="4"/>
    <n v="2025"/>
    <x v="1"/>
    <s v="Pune"/>
    <x v="7"/>
    <s v="Customer_5773"/>
    <x v="7"/>
    <x v="0"/>
    <n v="23"/>
    <n v="17239"/>
    <n v="12548"/>
    <n v="4691"/>
    <n v="0.2721155519461686"/>
    <x v="3"/>
  </r>
  <r>
    <s v="ORD00827"/>
    <s v="2025-06-17"/>
    <x v="9"/>
    <n v="2025"/>
    <x v="2"/>
    <s v="Delhi"/>
    <x v="0"/>
    <s v="Customer_2601"/>
    <x v="2"/>
    <x v="0"/>
    <n v="20"/>
    <n v="112566"/>
    <n v="81194"/>
    <n v="31372"/>
    <n v="0.27869871897375764"/>
    <x v="2"/>
  </r>
  <r>
    <s v="ORD00828"/>
    <s v="2025-12-04"/>
    <x v="1"/>
    <n v="2025"/>
    <x v="0"/>
    <s v="Kolkata"/>
    <x v="7"/>
    <s v="Customer_6313"/>
    <x v="4"/>
    <x v="2"/>
    <n v="1"/>
    <n v="77148"/>
    <n v="65459"/>
    <n v="11689"/>
    <n v="0.15151397314253123"/>
    <x v="0"/>
  </r>
  <r>
    <s v="ORD00829"/>
    <s v="2025-01-25"/>
    <x v="5"/>
    <n v="2025"/>
    <x v="1"/>
    <s v="Pune"/>
    <x v="0"/>
    <s v="Customer_5874"/>
    <x v="4"/>
    <x v="2"/>
    <n v="8"/>
    <n v="70634"/>
    <n v="48672"/>
    <n v="21962"/>
    <n v="0.31092674915762947"/>
    <x v="2"/>
  </r>
  <r>
    <s v="ORD00830"/>
    <s v="2025-01-03"/>
    <x v="5"/>
    <n v="2025"/>
    <x v="1"/>
    <s v="Mumbai"/>
    <x v="4"/>
    <s v="Customer_1721"/>
    <x v="1"/>
    <x v="0"/>
    <n v="20"/>
    <n v="35464"/>
    <n v="20960"/>
    <n v="14504"/>
    <n v="0.40897811865553801"/>
    <x v="1"/>
  </r>
  <r>
    <s v="ORD00831"/>
    <s v="2025-06-05"/>
    <x v="9"/>
    <n v="2025"/>
    <x v="2"/>
    <s v="Delhi"/>
    <x v="0"/>
    <s v="Customer_9825"/>
    <x v="0"/>
    <x v="0"/>
    <n v="11"/>
    <n v="10666"/>
    <n v="5184"/>
    <n v="5482"/>
    <n v="0.5139696231014439"/>
    <x v="0"/>
  </r>
  <r>
    <s v="ORD00832"/>
    <s v="2025-11-20"/>
    <x v="11"/>
    <n v="2025"/>
    <x v="0"/>
    <s v="Kolkata"/>
    <x v="2"/>
    <s v="Customer_6807"/>
    <x v="3"/>
    <x v="1"/>
    <n v="16"/>
    <n v="114693"/>
    <n v="90426"/>
    <n v="24267"/>
    <n v="0.21158222384975545"/>
    <x v="1"/>
  </r>
  <r>
    <s v="ORD00833"/>
    <s v="2025-07-24"/>
    <x v="0"/>
    <n v="2025"/>
    <x v="3"/>
    <s v="Bangalore"/>
    <x v="1"/>
    <s v="Customer_6386"/>
    <x v="8"/>
    <x v="4"/>
    <n v="16"/>
    <n v="54752"/>
    <n v="45159"/>
    <n v="9593"/>
    <n v="0.17520821157218"/>
    <x v="2"/>
  </r>
  <r>
    <s v="ORD00834"/>
    <s v="2025-01-04"/>
    <x v="5"/>
    <n v="2025"/>
    <x v="0"/>
    <s v="Kolkata"/>
    <x v="6"/>
    <s v="Customer_6614"/>
    <x v="6"/>
    <x v="2"/>
    <n v="25"/>
    <n v="85356"/>
    <n v="63531"/>
    <n v="21825"/>
    <n v="0.25569380008435261"/>
    <x v="3"/>
  </r>
  <r>
    <s v="ORD00835"/>
    <s v="2025-06-04"/>
    <x v="9"/>
    <n v="2025"/>
    <x v="1"/>
    <s v="Mumbai"/>
    <x v="3"/>
    <s v="Customer_5330"/>
    <x v="3"/>
    <x v="1"/>
    <n v="2"/>
    <n v="108946"/>
    <n v="59987"/>
    <n v="48959"/>
    <n v="0.44938777008793346"/>
    <x v="0"/>
  </r>
  <r>
    <s v="ORD00836"/>
    <s v="2025-05-11"/>
    <x v="4"/>
    <n v="2025"/>
    <x v="0"/>
    <s v="Bhubaneswar"/>
    <x v="0"/>
    <s v="Customer_6642"/>
    <x v="7"/>
    <x v="0"/>
    <n v="8"/>
    <n v="97007"/>
    <n v="79334"/>
    <n v="17673"/>
    <n v="0.18218272908140651"/>
    <x v="0"/>
  </r>
  <r>
    <s v="ORD00837"/>
    <s v="2025-12-08"/>
    <x v="1"/>
    <n v="2025"/>
    <x v="0"/>
    <s v="Bhubaneswar"/>
    <x v="2"/>
    <s v="Customer_5064"/>
    <x v="0"/>
    <x v="0"/>
    <n v="1"/>
    <n v="112272"/>
    <n v="50720"/>
    <n v="61552"/>
    <n v="0.54823998859911638"/>
    <x v="3"/>
  </r>
  <r>
    <s v="ORD00838"/>
    <s v="2025-03-15"/>
    <x v="2"/>
    <n v="2025"/>
    <x v="3"/>
    <s v="Bangalore"/>
    <x v="0"/>
    <s v="Customer_4372"/>
    <x v="3"/>
    <x v="1"/>
    <n v="11"/>
    <n v="85731"/>
    <n v="57891"/>
    <n v="27840"/>
    <n v="0.3247366763481121"/>
    <x v="2"/>
  </r>
  <r>
    <s v="ORD00839"/>
    <s v="2025-01-30"/>
    <x v="5"/>
    <n v="2025"/>
    <x v="1"/>
    <s v="Mumbai"/>
    <x v="2"/>
    <s v="Customer_5715"/>
    <x v="8"/>
    <x v="4"/>
    <n v="11"/>
    <n v="6511"/>
    <n v="3168"/>
    <n v="3343"/>
    <n v="0.51343879588388885"/>
    <x v="1"/>
  </r>
  <r>
    <s v="ORD00840"/>
    <s v="2025-05-22"/>
    <x v="4"/>
    <n v="2025"/>
    <x v="1"/>
    <s v="Pune"/>
    <x v="0"/>
    <s v="Customer_5181"/>
    <x v="7"/>
    <x v="0"/>
    <n v="21"/>
    <n v="59788"/>
    <n v="50310"/>
    <n v="9478"/>
    <n v="0.15852679467451664"/>
    <x v="3"/>
  </r>
  <r>
    <s v="ORD00842"/>
    <s v="2025-03-21"/>
    <x v="2"/>
    <n v="2025"/>
    <x v="1"/>
    <s v="Mumbai"/>
    <x v="4"/>
    <s v="Customer_6209"/>
    <x v="7"/>
    <x v="0"/>
    <n v="22"/>
    <n v="94727"/>
    <n v="53566"/>
    <n v="41161"/>
    <n v="0.43452236426784341"/>
    <x v="0"/>
  </r>
  <r>
    <s v="ORD00844"/>
    <s v="2025-10-13"/>
    <x v="7"/>
    <n v="2025"/>
    <x v="1"/>
    <s v="Pune"/>
    <x v="4"/>
    <s v="Customer_3988"/>
    <x v="2"/>
    <x v="0"/>
    <n v="25"/>
    <n v="99480"/>
    <n v="64531"/>
    <n v="34949"/>
    <n v="0.35131684760755932"/>
    <x v="1"/>
  </r>
  <r>
    <s v="ORD00845"/>
    <s v="2025-03-06"/>
    <x v="2"/>
    <n v="2025"/>
    <x v="0"/>
    <s v="Kolkata"/>
    <x v="0"/>
    <s v="Customer_2447"/>
    <x v="6"/>
    <x v="2"/>
    <n v="12"/>
    <n v="86934"/>
    <n v="48956"/>
    <n v="37978"/>
    <n v="0.43686014677801549"/>
    <x v="1"/>
  </r>
  <r>
    <s v="ORD00846"/>
    <s v="2025-09-16"/>
    <x v="6"/>
    <n v="2025"/>
    <x v="0"/>
    <s v="Bhubaneswar"/>
    <x v="0"/>
    <s v="Customer_6967"/>
    <x v="3"/>
    <x v="1"/>
    <n v="20"/>
    <n v="23516"/>
    <n v="18835"/>
    <n v="4681"/>
    <n v="0.19905596189828201"/>
    <x v="0"/>
  </r>
  <r>
    <s v="ORD00847"/>
    <s v="2025-04-02"/>
    <x v="8"/>
    <n v="2025"/>
    <x v="3"/>
    <s v="Chennai"/>
    <x v="0"/>
    <s v="Customer_4987"/>
    <x v="2"/>
    <x v="0"/>
    <n v="11"/>
    <n v="94566"/>
    <n v="65290"/>
    <n v="29276"/>
    <n v="0.30958272529238839"/>
    <x v="1"/>
  </r>
  <r>
    <s v="ORD00848"/>
    <s v="2025-12-08"/>
    <x v="1"/>
    <n v="2025"/>
    <x v="1"/>
    <s v="Mumbai"/>
    <x v="7"/>
    <s v="Customer_9647"/>
    <x v="3"/>
    <x v="1"/>
    <n v="15"/>
    <n v="58738"/>
    <n v="32947"/>
    <n v="25791"/>
    <n v="0.43908543021553337"/>
    <x v="1"/>
  </r>
  <r>
    <s v="ORD00849"/>
    <s v="2025-12-06"/>
    <x v="1"/>
    <n v="2025"/>
    <x v="2"/>
    <s v="Chandigarh"/>
    <x v="2"/>
    <s v="Customer_8670"/>
    <x v="6"/>
    <x v="2"/>
    <n v="5"/>
    <n v="54884"/>
    <n v="35916"/>
    <n v="18968"/>
    <n v="0.34560163253407183"/>
    <x v="3"/>
  </r>
  <r>
    <s v="ORD00850"/>
    <s v="2025-05-14"/>
    <x v="4"/>
    <n v="2025"/>
    <x v="2"/>
    <s v="Delhi"/>
    <x v="5"/>
    <s v="Customer_9148"/>
    <x v="0"/>
    <x v="0"/>
    <n v="21"/>
    <n v="49439"/>
    <n v="34653"/>
    <n v="14786"/>
    <n v="0.29907562855235748"/>
    <x v="3"/>
  </r>
  <r>
    <s v="ORD00851"/>
    <s v="2025-01-24"/>
    <x v="5"/>
    <n v="2025"/>
    <x v="2"/>
    <s v="Delhi"/>
    <x v="5"/>
    <s v="Customer_8150"/>
    <x v="0"/>
    <x v="0"/>
    <n v="17"/>
    <n v="70650"/>
    <n v="45174"/>
    <n v="25476"/>
    <n v="0.36059447983014864"/>
    <x v="2"/>
  </r>
  <r>
    <s v="ORD00852"/>
    <s v="2025-05-13"/>
    <x v="4"/>
    <n v="2025"/>
    <x v="1"/>
    <s v="Mumbai"/>
    <x v="5"/>
    <s v="Customer_8473"/>
    <x v="7"/>
    <x v="0"/>
    <n v="25"/>
    <n v="76186"/>
    <n v="42849"/>
    <n v="33337"/>
    <n v="0.43757383246265719"/>
    <x v="3"/>
  </r>
  <r>
    <s v="ORD00853"/>
    <s v="2025-05-08"/>
    <x v="4"/>
    <n v="2025"/>
    <x v="1"/>
    <s v="Mumbai"/>
    <x v="6"/>
    <s v="Customer_1738"/>
    <x v="8"/>
    <x v="4"/>
    <n v="17"/>
    <n v="75721"/>
    <n v="37535"/>
    <n v="38186"/>
    <n v="0.50429867540048334"/>
    <x v="0"/>
  </r>
  <r>
    <s v="ORD00854"/>
    <s v="2025-05-14"/>
    <x v="4"/>
    <n v="2025"/>
    <x v="1"/>
    <s v="Pune"/>
    <x v="6"/>
    <s v="Customer_6708"/>
    <x v="5"/>
    <x v="3"/>
    <n v="7"/>
    <n v="92319"/>
    <n v="73357"/>
    <n v="18962"/>
    <n v="0.2053965055947313"/>
    <x v="2"/>
  </r>
  <r>
    <s v="ORD00855"/>
    <s v="2025-01-09"/>
    <x v="5"/>
    <n v="2025"/>
    <x v="2"/>
    <s v="Delhi"/>
    <x v="2"/>
    <s v="Customer_8121"/>
    <x v="4"/>
    <x v="2"/>
    <n v="25"/>
    <n v="67933"/>
    <n v="38894"/>
    <n v="29039"/>
    <n v="0.42746529668938515"/>
    <x v="2"/>
  </r>
  <r>
    <s v="ORD00856"/>
    <s v="2025-12-10"/>
    <x v="1"/>
    <n v="2025"/>
    <x v="2"/>
    <s v="Delhi"/>
    <x v="7"/>
    <s v="Customer_8907"/>
    <x v="4"/>
    <x v="2"/>
    <n v="4"/>
    <n v="86463"/>
    <n v="48108"/>
    <n v="38355"/>
    <n v="0.44360015266645847"/>
    <x v="1"/>
  </r>
  <r>
    <s v="ORD00857"/>
    <s v="2025-07-10"/>
    <x v="0"/>
    <n v="2025"/>
    <x v="1"/>
    <s v="Pune"/>
    <x v="2"/>
    <s v="Customer_5140"/>
    <x v="2"/>
    <x v="0"/>
    <n v="10"/>
    <n v="48331"/>
    <n v="23958"/>
    <n v="24373"/>
    <n v="0.50429331071155159"/>
    <x v="0"/>
  </r>
  <r>
    <s v="ORD00858"/>
    <s v="2025-12-21"/>
    <x v="1"/>
    <n v="2025"/>
    <x v="2"/>
    <s v="Delhi"/>
    <x v="3"/>
    <s v="Customer_2016"/>
    <x v="1"/>
    <x v="0"/>
    <n v="7"/>
    <n v="102266"/>
    <n v="49538"/>
    <n v="52728"/>
    <n v="0.51559658146402521"/>
    <x v="0"/>
  </r>
  <r>
    <s v="ORD00859"/>
    <s v="2025-06-04"/>
    <x v="9"/>
    <n v="2025"/>
    <x v="0"/>
    <s v="Bhubaneswar"/>
    <x v="6"/>
    <s v="Customer_4058"/>
    <x v="5"/>
    <x v="3"/>
    <n v="19"/>
    <n v="13145"/>
    <n v="10901"/>
    <n v="2244"/>
    <n v="0.1707112970711297"/>
    <x v="3"/>
  </r>
  <r>
    <s v="ORD00860"/>
    <s v="2025-03-24"/>
    <x v="2"/>
    <n v="2025"/>
    <x v="1"/>
    <s v="Mumbai"/>
    <x v="4"/>
    <s v="Customer_8587"/>
    <x v="1"/>
    <x v="0"/>
    <n v="24"/>
    <n v="13849"/>
    <n v="8853"/>
    <n v="4996"/>
    <n v="0.36074806845259588"/>
    <x v="1"/>
  </r>
  <r>
    <s v="ORD00861"/>
    <s v="2025-08-02"/>
    <x v="10"/>
    <n v="2025"/>
    <x v="3"/>
    <s v="Bangalore"/>
    <x v="1"/>
    <s v="Customer_9940"/>
    <x v="6"/>
    <x v="2"/>
    <n v="9"/>
    <n v="79553"/>
    <n v="44449"/>
    <n v="35104"/>
    <n v="0.44126557138008621"/>
    <x v="0"/>
  </r>
  <r>
    <s v="ORD00862"/>
    <s v="2025-08-04"/>
    <x v="10"/>
    <n v="2025"/>
    <x v="1"/>
    <s v="Pune"/>
    <x v="0"/>
    <s v="Customer_7338"/>
    <x v="1"/>
    <x v="0"/>
    <n v="4"/>
    <n v="51889"/>
    <n v="32717"/>
    <n v="19172"/>
    <n v="0.36948100753531576"/>
    <x v="3"/>
  </r>
  <r>
    <s v="ORD00863"/>
    <s v="2025-11-27"/>
    <x v="11"/>
    <n v="2025"/>
    <x v="2"/>
    <s v="Chandigarh"/>
    <x v="5"/>
    <s v="Customer_5779"/>
    <x v="1"/>
    <x v="0"/>
    <n v="12"/>
    <n v="54254"/>
    <n v="43802"/>
    <n v="10452"/>
    <n v="0.192649389906735"/>
    <x v="1"/>
  </r>
  <r>
    <s v="ORD00864"/>
    <s v="2025-12-03"/>
    <x v="1"/>
    <n v="2025"/>
    <x v="1"/>
    <s v="Pune"/>
    <x v="4"/>
    <s v="Customer_1523"/>
    <x v="6"/>
    <x v="2"/>
    <n v="7"/>
    <n v="54930"/>
    <n v="30118"/>
    <n v="24812"/>
    <n v="0.45170216639359184"/>
    <x v="2"/>
  </r>
  <r>
    <s v="ORD00866"/>
    <s v="2025-09-08"/>
    <x v="6"/>
    <n v="2025"/>
    <x v="2"/>
    <s v="Delhi"/>
    <x v="1"/>
    <s v="Customer_8251"/>
    <x v="5"/>
    <x v="3"/>
    <n v="25"/>
    <n v="4432"/>
    <n v="3288"/>
    <n v="1144"/>
    <n v="0.25812274368231047"/>
    <x v="1"/>
  </r>
  <r>
    <s v="ORD00867"/>
    <s v="2025-10-08"/>
    <x v="7"/>
    <n v="2025"/>
    <x v="0"/>
    <s v="Bhubaneswar"/>
    <x v="6"/>
    <s v="Customer_5105"/>
    <x v="3"/>
    <x v="1"/>
    <n v="14"/>
    <n v="64630"/>
    <n v="31285"/>
    <n v="33345"/>
    <n v="0.51593687142194022"/>
    <x v="0"/>
  </r>
  <r>
    <s v="ORD00868"/>
    <s v="2025-06-16"/>
    <x v="9"/>
    <n v="2025"/>
    <x v="2"/>
    <s v="Delhi"/>
    <x v="5"/>
    <s v="Customer_7908"/>
    <x v="5"/>
    <x v="3"/>
    <n v="14"/>
    <n v="91815"/>
    <n v="59483"/>
    <n v="32332"/>
    <n v="0.35214289604095189"/>
    <x v="0"/>
  </r>
  <r>
    <s v="ORD00870"/>
    <s v="2025-06-25"/>
    <x v="9"/>
    <n v="2025"/>
    <x v="3"/>
    <s v="Chennai"/>
    <x v="4"/>
    <s v="Customer_4766"/>
    <x v="7"/>
    <x v="0"/>
    <n v="10"/>
    <n v="12562"/>
    <n v="9159"/>
    <n v="3403"/>
    <n v="0.27089635408374463"/>
    <x v="0"/>
  </r>
  <r>
    <s v="ORD00871"/>
    <s v="2025-04-09"/>
    <x v="8"/>
    <n v="2025"/>
    <x v="2"/>
    <s v="Chandigarh"/>
    <x v="6"/>
    <s v="Customer_9983"/>
    <x v="0"/>
    <x v="0"/>
    <n v="24"/>
    <n v="104602"/>
    <n v="82240"/>
    <n v="22362"/>
    <n v="0.2137817632550047"/>
    <x v="0"/>
  </r>
  <r>
    <s v="ORD00872"/>
    <s v="2025-11-18"/>
    <x v="11"/>
    <n v="2025"/>
    <x v="2"/>
    <s v="Delhi"/>
    <x v="4"/>
    <s v="Customer_2148"/>
    <x v="8"/>
    <x v="4"/>
    <n v="25"/>
    <n v="25669"/>
    <n v="16385"/>
    <n v="9284"/>
    <n v="0.36168140558650513"/>
    <x v="1"/>
  </r>
  <r>
    <s v="ORD00873"/>
    <s v="2025-04-22"/>
    <x v="8"/>
    <n v="2025"/>
    <x v="2"/>
    <s v="Chandigarh"/>
    <x v="3"/>
    <s v="Customer_2998"/>
    <x v="3"/>
    <x v="1"/>
    <n v="12"/>
    <n v="81226"/>
    <n v="55439"/>
    <n v="25787"/>
    <n v="0.31747223795336471"/>
    <x v="0"/>
  </r>
  <r>
    <s v="ORD00874"/>
    <s v="2025-03-04"/>
    <x v="2"/>
    <n v="2025"/>
    <x v="3"/>
    <s v="Chennai"/>
    <x v="6"/>
    <s v="Customer_7045"/>
    <x v="3"/>
    <x v="1"/>
    <n v="11"/>
    <n v="52221"/>
    <n v="37581"/>
    <n v="14640"/>
    <n v="0.28034698684437298"/>
    <x v="2"/>
  </r>
  <r>
    <s v="ORD00875"/>
    <s v="2025-05-23"/>
    <x v="4"/>
    <n v="2025"/>
    <x v="0"/>
    <s v="Kolkata"/>
    <x v="6"/>
    <s v="Customer_6869"/>
    <x v="8"/>
    <x v="4"/>
    <n v="25"/>
    <n v="77002"/>
    <n v="62226"/>
    <n v="14776"/>
    <n v="0.19189111971117634"/>
    <x v="0"/>
  </r>
  <r>
    <s v="ORD00876"/>
    <s v="2025-11-23"/>
    <x v="11"/>
    <n v="2025"/>
    <x v="0"/>
    <s v="Bhubaneswar"/>
    <x v="4"/>
    <s v="Customer_3774"/>
    <x v="4"/>
    <x v="2"/>
    <n v="7"/>
    <n v="23653"/>
    <n v="14857"/>
    <n v="8796"/>
    <n v="0.37187671754111529"/>
    <x v="2"/>
  </r>
  <r>
    <s v="ORD00877"/>
    <s v="2025-04-29"/>
    <x v="8"/>
    <n v="2025"/>
    <x v="1"/>
    <s v="Mumbai"/>
    <x v="4"/>
    <s v="Customer_2434"/>
    <x v="8"/>
    <x v="4"/>
    <n v="9"/>
    <n v="61800"/>
    <n v="44681"/>
    <n v="17119"/>
    <n v="0.27700647249190941"/>
    <x v="0"/>
  </r>
  <r>
    <s v="ORD00878"/>
    <s v="2025-08-02"/>
    <x v="10"/>
    <n v="2025"/>
    <x v="1"/>
    <s v="Mumbai"/>
    <x v="4"/>
    <s v="Customer_4515"/>
    <x v="3"/>
    <x v="1"/>
    <n v="2"/>
    <n v="67648"/>
    <n v="41955"/>
    <n v="25693"/>
    <n v="0.37980428098391672"/>
    <x v="0"/>
  </r>
  <r>
    <s v="ORD00879"/>
    <s v="2025-12-20"/>
    <x v="1"/>
    <n v="2025"/>
    <x v="2"/>
    <s v="Delhi"/>
    <x v="0"/>
    <s v="Customer_4035"/>
    <x v="4"/>
    <x v="2"/>
    <n v="2"/>
    <n v="53573"/>
    <n v="31610"/>
    <n v="21963"/>
    <n v="0.40996397439008458"/>
    <x v="3"/>
  </r>
  <r>
    <s v="ORD00880"/>
    <s v="2025-03-15"/>
    <x v="2"/>
    <n v="2025"/>
    <x v="3"/>
    <s v="Chennai"/>
    <x v="1"/>
    <s v="Customer_8743"/>
    <x v="2"/>
    <x v="0"/>
    <n v="12"/>
    <n v="24575"/>
    <n v="17052"/>
    <n v="7523"/>
    <n v="0.30612410986775179"/>
    <x v="2"/>
  </r>
  <r>
    <s v="ORD00881"/>
    <s v="2025-04-16"/>
    <x v="8"/>
    <n v="2025"/>
    <x v="3"/>
    <s v="Bangalore"/>
    <x v="1"/>
    <s v="Customer_8465"/>
    <x v="8"/>
    <x v="4"/>
    <n v="4"/>
    <n v="44244"/>
    <n v="35492"/>
    <n v="8752"/>
    <n v="0.19781213271856071"/>
    <x v="1"/>
  </r>
  <r>
    <s v="ORD00882"/>
    <s v="2025-11-08"/>
    <x v="11"/>
    <n v="2025"/>
    <x v="3"/>
    <s v="Chennai"/>
    <x v="0"/>
    <s v="Customer_5234"/>
    <x v="6"/>
    <x v="2"/>
    <n v="14"/>
    <n v="86979"/>
    <n v="50862"/>
    <n v="36117"/>
    <n v="0.41523816093539823"/>
    <x v="2"/>
  </r>
  <r>
    <s v="ORD00883"/>
    <s v="2025-06-06"/>
    <x v="9"/>
    <n v="2025"/>
    <x v="2"/>
    <s v="Chandigarh"/>
    <x v="5"/>
    <s v="Customer_4602"/>
    <x v="6"/>
    <x v="2"/>
    <n v="5"/>
    <n v="54763"/>
    <n v="27922"/>
    <n v="26841"/>
    <n v="0.49013019739605207"/>
    <x v="3"/>
  </r>
  <r>
    <s v="ORD00884"/>
    <s v="2025-08-09"/>
    <x v="10"/>
    <n v="2025"/>
    <x v="0"/>
    <s v="Kolkata"/>
    <x v="3"/>
    <s v="Customer_5550"/>
    <x v="4"/>
    <x v="2"/>
    <n v="7"/>
    <n v="34832"/>
    <n v="27291"/>
    <n v="7541"/>
    <n v="0.21649632521819018"/>
    <x v="3"/>
  </r>
  <r>
    <s v="ORD00885"/>
    <s v="2025-08-25"/>
    <x v="10"/>
    <n v="2025"/>
    <x v="2"/>
    <s v="Delhi"/>
    <x v="7"/>
    <s v="Customer_4814"/>
    <x v="2"/>
    <x v="0"/>
    <n v="9"/>
    <n v="83428"/>
    <n v="56040"/>
    <n v="27388"/>
    <n v="0.32828307043198929"/>
    <x v="3"/>
  </r>
  <r>
    <s v="ORD00886"/>
    <s v="2025-01-23"/>
    <x v="5"/>
    <n v="2025"/>
    <x v="1"/>
    <s v="Mumbai"/>
    <x v="6"/>
    <s v="Customer_7153"/>
    <x v="4"/>
    <x v="2"/>
    <n v="11"/>
    <n v="92250"/>
    <n v="47408"/>
    <n v="44842"/>
    <n v="0.48609214092140923"/>
    <x v="1"/>
  </r>
  <r>
    <s v="ORD00887"/>
    <s v="2025-08-15"/>
    <x v="10"/>
    <n v="2025"/>
    <x v="1"/>
    <s v="Mumbai"/>
    <x v="5"/>
    <s v="Customer_8216"/>
    <x v="1"/>
    <x v="0"/>
    <n v="19"/>
    <n v="39550"/>
    <n v="25875"/>
    <n v="13675"/>
    <n v="0.34576485461441214"/>
    <x v="2"/>
  </r>
  <r>
    <s v="ORD00888"/>
    <s v="2025-07-08"/>
    <x v="0"/>
    <n v="2025"/>
    <x v="0"/>
    <s v="Bhubaneswar"/>
    <x v="5"/>
    <s v="Customer_3904"/>
    <x v="3"/>
    <x v="1"/>
    <n v="13"/>
    <n v="112491"/>
    <n v="53186"/>
    <n v="59305"/>
    <n v="0.52719773137406545"/>
    <x v="0"/>
  </r>
  <r>
    <s v="ORD00889"/>
    <s v="2025-06-30"/>
    <x v="9"/>
    <n v="2025"/>
    <x v="2"/>
    <s v="Chandigarh"/>
    <x v="7"/>
    <s v="Customer_2084"/>
    <x v="8"/>
    <x v="4"/>
    <n v="6"/>
    <n v="48559"/>
    <n v="23019"/>
    <n v="25540"/>
    <n v="0.52595811281121929"/>
    <x v="2"/>
  </r>
  <r>
    <s v="ORD00890"/>
    <s v="2025-11-09"/>
    <x v="11"/>
    <n v="2025"/>
    <x v="3"/>
    <s v="Bangalore"/>
    <x v="3"/>
    <s v="Customer_3770"/>
    <x v="2"/>
    <x v="0"/>
    <n v="2"/>
    <n v="108996"/>
    <n v="76411"/>
    <n v="32585"/>
    <n v="0.29895592498807294"/>
    <x v="3"/>
  </r>
  <r>
    <s v="ORD00891"/>
    <s v="2025-02-26"/>
    <x v="3"/>
    <n v="2025"/>
    <x v="1"/>
    <s v="Pune"/>
    <x v="3"/>
    <s v="Customer_4384"/>
    <x v="3"/>
    <x v="1"/>
    <n v="19"/>
    <n v="95376"/>
    <n v="71048"/>
    <n v="24328"/>
    <n v="0.25507465190404294"/>
    <x v="0"/>
  </r>
  <r>
    <s v="ORD00892"/>
    <s v="2025-10-11"/>
    <x v="7"/>
    <n v="2025"/>
    <x v="2"/>
    <s v="Chandigarh"/>
    <x v="4"/>
    <s v="Customer_9826"/>
    <x v="7"/>
    <x v="0"/>
    <n v="8"/>
    <n v="18818"/>
    <n v="8792"/>
    <n v="10026"/>
    <n v="0.53278775640344356"/>
    <x v="0"/>
  </r>
  <r>
    <s v="ORD00893"/>
    <s v="2025-01-27"/>
    <x v="5"/>
    <n v="2025"/>
    <x v="2"/>
    <s v="Chandigarh"/>
    <x v="6"/>
    <s v="Customer_7204"/>
    <x v="8"/>
    <x v="4"/>
    <n v="21"/>
    <n v="34644"/>
    <n v="17904"/>
    <n v="16740"/>
    <n v="0.48320055420852098"/>
    <x v="0"/>
  </r>
  <r>
    <s v="ORD00894"/>
    <s v="2025-07-14"/>
    <x v="0"/>
    <n v="2025"/>
    <x v="0"/>
    <s v="Bhubaneswar"/>
    <x v="2"/>
    <s v="Customer_6254"/>
    <x v="1"/>
    <x v="0"/>
    <n v="3"/>
    <n v="43509"/>
    <n v="33073"/>
    <n v="10436"/>
    <n v="0.23985842009699143"/>
    <x v="3"/>
  </r>
  <r>
    <s v="ORD00895"/>
    <s v="2025-02-28"/>
    <x v="3"/>
    <n v="2025"/>
    <x v="2"/>
    <s v="Delhi"/>
    <x v="5"/>
    <s v="Customer_8242"/>
    <x v="5"/>
    <x v="3"/>
    <n v="20"/>
    <n v="67364"/>
    <n v="53440"/>
    <n v="13924"/>
    <n v="0.20669793955228311"/>
    <x v="2"/>
  </r>
  <r>
    <s v="ORD00896"/>
    <s v="2025-12-10"/>
    <x v="1"/>
    <n v="2025"/>
    <x v="2"/>
    <s v="Chandigarh"/>
    <x v="5"/>
    <s v="Customer_4267"/>
    <x v="5"/>
    <x v="3"/>
    <n v="17"/>
    <n v="67318"/>
    <n v="38721"/>
    <n v="28597"/>
    <n v="0.42480465848658605"/>
    <x v="2"/>
  </r>
  <r>
    <s v="ORD00897"/>
    <s v="2026-01-01"/>
    <x v="5"/>
    <n v="2026"/>
    <x v="3"/>
    <s v="Chennai"/>
    <x v="4"/>
    <s v="Customer_4186"/>
    <x v="4"/>
    <x v="2"/>
    <n v="16"/>
    <n v="84577"/>
    <n v="42327"/>
    <n v="42250"/>
    <n v="0.49954479350177944"/>
    <x v="1"/>
  </r>
  <r>
    <s v="ORD00898"/>
    <s v="2025-11-27"/>
    <x v="11"/>
    <n v="2025"/>
    <x v="3"/>
    <s v="Chennai"/>
    <x v="4"/>
    <s v="Customer_3405"/>
    <x v="4"/>
    <x v="2"/>
    <n v="10"/>
    <n v="55016"/>
    <n v="27641"/>
    <n v="27375"/>
    <n v="0.49758252144830595"/>
    <x v="3"/>
  </r>
  <r>
    <s v="ORD00899"/>
    <s v="2025-05-07"/>
    <x v="4"/>
    <n v="2025"/>
    <x v="2"/>
    <s v="Chandigarh"/>
    <x v="3"/>
    <s v="Customer_6448"/>
    <x v="4"/>
    <x v="2"/>
    <n v="10"/>
    <n v="68263"/>
    <n v="33705"/>
    <n v="34558"/>
    <n v="0.50624789417400351"/>
    <x v="3"/>
  </r>
  <r>
    <s v="ORD00901"/>
    <s v="2025-05-16"/>
    <x v="4"/>
    <n v="2025"/>
    <x v="2"/>
    <s v="Delhi"/>
    <x v="0"/>
    <s v="Customer_6703"/>
    <x v="5"/>
    <x v="3"/>
    <n v="9"/>
    <n v="62590"/>
    <n v="39275"/>
    <n v="23315"/>
    <n v="0.37250359482345424"/>
    <x v="1"/>
  </r>
  <r>
    <s v="ORD00902"/>
    <s v="2025-05-21"/>
    <x v="4"/>
    <n v="2025"/>
    <x v="2"/>
    <s v="Delhi"/>
    <x v="7"/>
    <s v="Customer_9969"/>
    <x v="3"/>
    <x v="1"/>
    <n v="18"/>
    <n v="63732"/>
    <n v="53058"/>
    <n v="10674"/>
    <n v="0.16748258331764262"/>
    <x v="1"/>
  </r>
  <r>
    <s v="ORD00904"/>
    <s v="2025-02-28"/>
    <x v="3"/>
    <n v="2025"/>
    <x v="0"/>
    <s v="Bhubaneswar"/>
    <x v="4"/>
    <s v="Customer_3401"/>
    <x v="7"/>
    <x v="0"/>
    <n v="24"/>
    <n v="45223"/>
    <n v="37187"/>
    <n v="8036"/>
    <n v="0.17769718948322757"/>
    <x v="2"/>
  </r>
  <r>
    <s v="ORD00905"/>
    <s v="2025-09-22"/>
    <x v="6"/>
    <n v="2025"/>
    <x v="1"/>
    <s v="Mumbai"/>
    <x v="3"/>
    <s v="Customer_7102"/>
    <x v="8"/>
    <x v="4"/>
    <n v="17"/>
    <n v="28657"/>
    <n v="16082"/>
    <n v="12575"/>
    <n v="0.43881076176850331"/>
    <x v="2"/>
  </r>
  <r>
    <s v="ORD00906"/>
    <s v="2025-09-24"/>
    <x v="6"/>
    <n v="2025"/>
    <x v="1"/>
    <s v="Mumbai"/>
    <x v="4"/>
    <s v="Customer_5656"/>
    <x v="4"/>
    <x v="2"/>
    <n v="20"/>
    <n v="33236"/>
    <n v="20743"/>
    <n v="12493"/>
    <n v="0.37588759176796244"/>
    <x v="0"/>
  </r>
  <r>
    <s v="ORD00907"/>
    <s v="2025-01-22"/>
    <x v="5"/>
    <n v="2025"/>
    <x v="0"/>
    <s v="Kolkata"/>
    <x v="1"/>
    <s v="Customer_8366"/>
    <x v="0"/>
    <x v="0"/>
    <n v="12"/>
    <n v="9063"/>
    <n v="4977"/>
    <n v="4086"/>
    <n v="0.45084409136047665"/>
    <x v="1"/>
  </r>
  <r>
    <s v="ORD00908"/>
    <s v="2025-09-18"/>
    <x v="6"/>
    <n v="2025"/>
    <x v="2"/>
    <s v="Delhi"/>
    <x v="7"/>
    <s v="Customer_8586"/>
    <x v="0"/>
    <x v="0"/>
    <n v="13"/>
    <n v="57766"/>
    <n v="46345"/>
    <n v="11421"/>
    <n v="0.19771145656614617"/>
    <x v="2"/>
  </r>
  <r>
    <s v="ORD00909"/>
    <s v="2025-06-13"/>
    <x v="9"/>
    <n v="2025"/>
    <x v="0"/>
    <s v="Bhubaneswar"/>
    <x v="4"/>
    <s v="Customer_5657"/>
    <x v="3"/>
    <x v="1"/>
    <n v="15"/>
    <n v="100838"/>
    <n v="48256"/>
    <n v="52582"/>
    <n v="0.52145024693072051"/>
    <x v="1"/>
  </r>
  <r>
    <s v="ORD00910"/>
    <s v="2025-07-01"/>
    <x v="0"/>
    <n v="2025"/>
    <x v="0"/>
    <s v="Kolkata"/>
    <x v="5"/>
    <s v="Customer_4500"/>
    <x v="3"/>
    <x v="1"/>
    <n v="18"/>
    <n v="17477"/>
    <n v="11178"/>
    <n v="6299"/>
    <n v="0.36041654746237911"/>
    <x v="1"/>
  </r>
  <r>
    <s v="ORD00911"/>
    <s v="2025-03-18"/>
    <x v="2"/>
    <n v="2025"/>
    <x v="1"/>
    <s v="Mumbai"/>
    <x v="0"/>
    <s v="Customer_9272"/>
    <x v="2"/>
    <x v="0"/>
    <n v="5"/>
    <n v="81135"/>
    <n v="41580"/>
    <n v="39555"/>
    <n v="0.4875207986688852"/>
    <x v="0"/>
  </r>
  <r>
    <s v="ORD00912"/>
    <s v="2025-03-05"/>
    <x v="2"/>
    <n v="2025"/>
    <x v="2"/>
    <s v="Chandigarh"/>
    <x v="0"/>
    <s v="Customer_7664"/>
    <x v="3"/>
    <x v="1"/>
    <n v="18"/>
    <n v="44670"/>
    <n v="27837"/>
    <n v="16833"/>
    <n v="0.37683008730691742"/>
    <x v="0"/>
  </r>
  <r>
    <s v="ORD00913"/>
    <s v="2025-09-01"/>
    <x v="6"/>
    <n v="2025"/>
    <x v="0"/>
    <s v="Kolkata"/>
    <x v="5"/>
    <s v="Customer_7564"/>
    <x v="1"/>
    <x v="0"/>
    <n v="23"/>
    <n v="15719"/>
    <n v="11722"/>
    <n v="3997"/>
    <n v="0.25427826197595266"/>
    <x v="0"/>
  </r>
  <r>
    <s v="ORD00914"/>
    <s v="2025-04-22"/>
    <x v="8"/>
    <n v="2025"/>
    <x v="0"/>
    <s v="Bhubaneswar"/>
    <x v="2"/>
    <s v="Customer_9948"/>
    <x v="3"/>
    <x v="1"/>
    <n v="24"/>
    <n v="37718"/>
    <n v="26953"/>
    <n v="10765"/>
    <n v="0.28540749774643404"/>
    <x v="2"/>
  </r>
  <r>
    <s v="ORD00915"/>
    <s v="2025-09-05"/>
    <x v="6"/>
    <n v="2025"/>
    <x v="1"/>
    <s v="Mumbai"/>
    <x v="0"/>
    <s v="Customer_6738"/>
    <x v="4"/>
    <x v="2"/>
    <n v="19"/>
    <n v="69313"/>
    <n v="45643"/>
    <n v="23670"/>
    <n v="0.34149438056353065"/>
    <x v="1"/>
  </r>
  <r>
    <s v="ORD00916"/>
    <s v="2025-06-06"/>
    <x v="9"/>
    <n v="2025"/>
    <x v="1"/>
    <s v="Pune"/>
    <x v="7"/>
    <s v="Customer_8374"/>
    <x v="5"/>
    <x v="3"/>
    <n v="1"/>
    <n v="68439"/>
    <n v="31419"/>
    <n v="37020"/>
    <n v="0.54091965107614082"/>
    <x v="0"/>
  </r>
  <r>
    <s v="ORD00917"/>
    <s v="2025-09-11"/>
    <x v="6"/>
    <n v="2025"/>
    <x v="3"/>
    <s v="Bangalore"/>
    <x v="3"/>
    <s v="Customer_5632"/>
    <x v="5"/>
    <x v="3"/>
    <n v="7"/>
    <n v="31566"/>
    <n v="26585"/>
    <n v="4981"/>
    <n v="0.15779636317556864"/>
    <x v="1"/>
  </r>
  <r>
    <s v="ORD00918"/>
    <s v="2025-03-06"/>
    <x v="2"/>
    <n v="2025"/>
    <x v="0"/>
    <s v="Bhubaneswar"/>
    <x v="4"/>
    <s v="Customer_2631"/>
    <x v="4"/>
    <x v="2"/>
    <n v="6"/>
    <n v="116916"/>
    <n v="65408"/>
    <n v="51508"/>
    <n v="0.44055561257655068"/>
    <x v="0"/>
  </r>
  <r>
    <s v="ORD00919"/>
    <s v="2025-10-01"/>
    <x v="7"/>
    <n v="2025"/>
    <x v="1"/>
    <s v="Mumbai"/>
    <x v="1"/>
    <s v="Customer_5224"/>
    <x v="7"/>
    <x v="0"/>
    <n v="5"/>
    <n v="67076"/>
    <n v="41013"/>
    <n v="26063"/>
    <n v="0.38855924622815913"/>
    <x v="0"/>
  </r>
  <r>
    <s v="ORD00920"/>
    <s v="2025-02-16"/>
    <x v="3"/>
    <n v="2025"/>
    <x v="0"/>
    <s v="Kolkata"/>
    <x v="7"/>
    <s v="Customer_2140"/>
    <x v="0"/>
    <x v="0"/>
    <n v="25"/>
    <n v="66681"/>
    <n v="35837"/>
    <n v="30844"/>
    <n v="0.46256054948186143"/>
    <x v="1"/>
  </r>
  <r>
    <s v="ORD00921"/>
    <s v="2025-07-25"/>
    <x v="0"/>
    <n v="2025"/>
    <x v="0"/>
    <s v="Bhubaneswar"/>
    <x v="7"/>
    <s v="Customer_9656"/>
    <x v="5"/>
    <x v="3"/>
    <n v="12"/>
    <n v="92191"/>
    <n v="75705"/>
    <n v="16486"/>
    <n v="0.17882439717542928"/>
    <x v="3"/>
  </r>
  <r>
    <s v="ORD00922"/>
    <s v="2025-02-13"/>
    <x v="3"/>
    <n v="2025"/>
    <x v="2"/>
    <s v="Delhi"/>
    <x v="4"/>
    <s v="Customer_5051"/>
    <x v="5"/>
    <x v="3"/>
    <n v="7"/>
    <n v="38970"/>
    <n v="22498"/>
    <n v="16472"/>
    <n v="0.42268411598665639"/>
    <x v="0"/>
  </r>
  <r>
    <s v="ORD00923"/>
    <s v="2025-07-23"/>
    <x v="0"/>
    <n v="2025"/>
    <x v="1"/>
    <s v="Mumbai"/>
    <x v="7"/>
    <s v="Customer_4560"/>
    <x v="3"/>
    <x v="1"/>
    <n v="10"/>
    <n v="101375"/>
    <n v="77749"/>
    <n v="23626"/>
    <n v="0.23305548705302095"/>
    <x v="2"/>
  </r>
  <r>
    <s v="ORD00924"/>
    <s v="2025-06-05"/>
    <x v="9"/>
    <n v="2025"/>
    <x v="2"/>
    <s v="Delhi"/>
    <x v="5"/>
    <s v="Customer_7951"/>
    <x v="8"/>
    <x v="4"/>
    <n v="18"/>
    <n v="25167"/>
    <n v="14448"/>
    <n v="10719"/>
    <n v="0.42591488854452259"/>
    <x v="3"/>
  </r>
  <r>
    <s v="ORD00925"/>
    <s v="2025-02-23"/>
    <x v="3"/>
    <n v="2025"/>
    <x v="1"/>
    <s v="Mumbai"/>
    <x v="1"/>
    <s v="Customer_1078"/>
    <x v="7"/>
    <x v="0"/>
    <n v="8"/>
    <n v="68498"/>
    <n v="33312"/>
    <n v="35186"/>
    <n v="0.51367923151040906"/>
    <x v="3"/>
  </r>
  <r>
    <s v="ORD00926"/>
    <s v="2025-11-12"/>
    <x v="11"/>
    <n v="2025"/>
    <x v="0"/>
    <s v="Bhubaneswar"/>
    <x v="4"/>
    <s v="Customer_4201"/>
    <x v="3"/>
    <x v="1"/>
    <n v="24"/>
    <n v="57305"/>
    <n v="35577"/>
    <n v="21728"/>
    <n v="0.37916412180438008"/>
    <x v="0"/>
  </r>
  <r>
    <s v="ORD00927"/>
    <s v="2025-11-08"/>
    <x v="11"/>
    <n v="2025"/>
    <x v="0"/>
    <s v="Bhubaneswar"/>
    <x v="4"/>
    <s v="Customer_2453"/>
    <x v="3"/>
    <x v="1"/>
    <n v="2"/>
    <n v="85279"/>
    <n v="53715"/>
    <n v="31564"/>
    <n v="0.37012629134957026"/>
    <x v="3"/>
  </r>
  <r>
    <s v="ORD00928"/>
    <s v="2025-08-14"/>
    <x v="10"/>
    <n v="2025"/>
    <x v="0"/>
    <s v="Kolkata"/>
    <x v="2"/>
    <s v="Customer_2931"/>
    <x v="8"/>
    <x v="4"/>
    <n v="25"/>
    <n v="69529"/>
    <n v="34360"/>
    <n v="35169"/>
    <n v="0.50581771634857398"/>
    <x v="1"/>
  </r>
  <r>
    <s v="ORD00929"/>
    <s v="2025-12-04"/>
    <x v="1"/>
    <n v="2025"/>
    <x v="1"/>
    <s v="Mumbai"/>
    <x v="4"/>
    <s v="Customer_1353"/>
    <x v="3"/>
    <x v="1"/>
    <n v="16"/>
    <n v="59527"/>
    <n v="47241"/>
    <n v="12286"/>
    <n v="0.20639373729568095"/>
    <x v="2"/>
  </r>
  <r>
    <s v="ORD00930"/>
    <s v="2025-10-15"/>
    <x v="7"/>
    <n v="2025"/>
    <x v="0"/>
    <s v="Kolkata"/>
    <x v="3"/>
    <s v="Customer_4743"/>
    <x v="2"/>
    <x v="0"/>
    <n v="13"/>
    <n v="7262"/>
    <n v="5886"/>
    <n v="1376"/>
    <n v="0.18947948223629854"/>
    <x v="1"/>
  </r>
  <r>
    <s v="ORD00931"/>
    <s v="2025-03-01"/>
    <x v="2"/>
    <n v="2025"/>
    <x v="2"/>
    <s v="Chandigarh"/>
    <x v="3"/>
    <s v="Customer_9782"/>
    <x v="8"/>
    <x v="4"/>
    <n v="5"/>
    <n v="48641"/>
    <n v="25749"/>
    <n v="22892"/>
    <n v="0.47063177155074937"/>
    <x v="1"/>
  </r>
  <r>
    <s v="ORD00932"/>
    <s v="2025-12-24"/>
    <x v="1"/>
    <n v="2025"/>
    <x v="2"/>
    <s v="Chandigarh"/>
    <x v="3"/>
    <s v="Customer_1334"/>
    <x v="1"/>
    <x v="0"/>
    <n v="21"/>
    <n v="76699"/>
    <n v="48491"/>
    <n v="28208"/>
    <n v="0.36777532953493525"/>
    <x v="0"/>
  </r>
  <r>
    <s v="ORD00933"/>
    <s v="2025-11-25"/>
    <x v="11"/>
    <n v="2025"/>
    <x v="0"/>
    <s v="Kolkata"/>
    <x v="3"/>
    <s v="Customer_1475"/>
    <x v="1"/>
    <x v="0"/>
    <n v="3"/>
    <n v="25116"/>
    <n v="20034"/>
    <n v="5082"/>
    <n v="0.20234113712374582"/>
    <x v="3"/>
  </r>
  <r>
    <s v="ORD00934"/>
    <s v="2025-10-04"/>
    <x v="7"/>
    <n v="2025"/>
    <x v="1"/>
    <s v="Mumbai"/>
    <x v="5"/>
    <s v="Customer_9510"/>
    <x v="8"/>
    <x v="4"/>
    <n v="13"/>
    <n v="47042"/>
    <n v="29367"/>
    <n v="17675"/>
    <n v="0.37572807278602099"/>
    <x v="2"/>
  </r>
  <r>
    <s v="ORD00935"/>
    <s v="2025-10-04"/>
    <x v="7"/>
    <n v="2025"/>
    <x v="1"/>
    <s v="Pune"/>
    <x v="4"/>
    <s v="Customer_6361"/>
    <x v="4"/>
    <x v="2"/>
    <n v="17"/>
    <n v="28122"/>
    <n v="18700"/>
    <n v="9422"/>
    <n v="0.3350401820638646"/>
    <x v="2"/>
  </r>
  <r>
    <s v="ORD00936"/>
    <s v="2025-09-23"/>
    <x v="6"/>
    <n v="2025"/>
    <x v="3"/>
    <s v="Chennai"/>
    <x v="6"/>
    <s v="Customer_2685"/>
    <x v="6"/>
    <x v="2"/>
    <n v="6"/>
    <n v="77204"/>
    <n v="44551"/>
    <n v="32653"/>
    <n v="0.4229444070255427"/>
    <x v="3"/>
  </r>
  <r>
    <s v="ORD00937"/>
    <s v="2025-03-20"/>
    <x v="2"/>
    <n v="2025"/>
    <x v="1"/>
    <s v="Mumbai"/>
    <x v="0"/>
    <s v="Customer_2794"/>
    <x v="2"/>
    <x v="0"/>
    <n v="17"/>
    <n v="8427"/>
    <n v="5650"/>
    <n v="2777"/>
    <n v="0.32953601518927256"/>
    <x v="3"/>
  </r>
  <r>
    <s v="ORD00938"/>
    <s v="2025-09-26"/>
    <x v="6"/>
    <n v="2025"/>
    <x v="2"/>
    <s v="Delhi"/>
    <x v="2"/>
    <s v="Customer_6111"/>
    <x v="0"/>
    <x v="0"/>
    <n v="14"/>
    <n v="46492"/>
    <n v="22892"/>
    <n v="23600"/>
    <n v="0.50761421319796951"/>
    <x v="3"/>
  </r>
  <r>
    <s v="ORD00939"/>
    <s v="2025-06-17"/>
    <x v="9"/>
    <n v="2025"/>
    <x v="3"/>
    <s v="Chennai"/>
    <x v="3"/>
    <s v="Customer_1406"/>
    <x v="6"/>
    <x v="2"/>
    <n v="11"/>
    <n v="33057"/>
    <n v="18599"/>
    <n v="14458"/>
    <n v="0.43736576216837586"/>
    <x v="0"/>
  </r>
  <r>
    <s v="ORD00940"/>
    <s v="2025-11-02"/>
    <x v="11"/>
    <n v="2025"/>
    <x v="3"/>
    <s v="Chennai"/>
    <x v="6"/>
    <s v="Customer_8959"/>
    <x v="5"/>
    <x v="3"/>
    <n v="3"/>
    <n v="111266"/>
    <n v="73442"/>
    <n v="37824"/>
    <n v="0.33994212068376684"/>
    <x v="1"/>
  </r>
  <r>
    <s v="ORD00941"/>
    <s v="2025-11-05"/>
    <x v="11"/>
    <n v="2025"/>
    <x v="2"/>
    <s v="Delhi"/>
    <x v="2"/>
    <s v="Customer_1717"/>
    <x v="8"/>
    <x v="4"/>
    <n v="4"/>
    <n v="54020"/>
    <n v="34478"/>
    <n v="19542"/>
    <n v="0.36175490559052204"/>
    <x v="0"/>
  </r>
  <r>
    <s v="ORD00942"/>
    <s v="2025-05-06"/>
    <x v="4"/>
    <n v="2025"/>
    <x v="3"/>
    <s v="Chennai"/>
    <x v="7"/>
    <s v="Customer_4099"/>
    <x v="4"/>
    <x v="2"/>
    <n v="22"/>
    <n v="61863"/>
    <n v="48059"/>
    <n v="13804"/>
    <n v="0.22313822478702941"/>
    <x v="0"/>
  </r>
  <r>
    <s v="ORD00943"/>
    <s v="2025-03-28"/>
    <x v="2"/>
    <n v="2025"/>
    <x v="3"/>
    <s v="Chennai"/>
    <x v="0"/>
    <s v="Customer_2492"/>
    <x v="4"/>
    <x v="2"/>
    <n v="16"/>
    <n v="27489"/>
    <n v="15597"/>
    <n v="11892"/>
    <n v="0.43260940739932335"/>
    <x v="3"/>
  </r>
  <r>
    <s v="ORD00944"/>
    <s v="2025-12-06"/>
    <x v="1"/>
    <n v="2025"/>
    <x v="1"/>
    <s v="Pune"/>
    <x v="0"/>
    <s v="Customer_8022"/>
    <x v="0"/>
    <x v="0"/>
    <n v="25"/>
    <n v="71946"/>
    <n v="38192"/>
    <n v="33754"/>
    <n v="0.46915742362327301"/>
    <x v="2"/>
  </r>
  <r>
    <s v="ORD00945"/>
    <s v="2025-08-26"/>
    <x v="10"/>
    <n v="2025"/>
    <x v="0"/>
    <s v="Bhubaneswar"/>
    <x v="7"/>
    <s v="Customer_7587"/>
    <x v="7"/>
    <x v="0"/>
    <n v="3"/>
    <n v="12591"/>
    <n v="6364"/>
    <n v="6227"/>
    <n v="0.49455960606782623"/>
    <x v="1"/>
  </r>
  <r>
    <s v="ORD00946"/>
    <s v="2025-11-23"/>
    <x v="11"/>
    <n v="2025"/>
    <x v="2"/>
    <s v="Delhi"/>
    <x v="6"/>
    <s v="Customer_5302"/>
    <x v="0"/>
    <x v="0"/>
    <n v="21"/>
    <n v="52197"/>
    <n v="33731"/>
    <n v="18466"/>
    <n v="0.35377512117554649"/>
    <x v="0"/>
  </r>
  <r>
    <s v="ORD00947"/>
    <s v="2025-02-09"/>
    <x v="3"/>
    <n v="2025"/>
    <x v="1"/>
    <s v="Mumbai"/>
    <x v="2"/>
    <s v="Customer_5253"/>
    <x v="0"/>
    <x v="0"/>
    <n v="4"/>
    <n v="25083"/>
    <n v="21159"/>
    <n v="3924"/>
    <n v="0.15644061715105848"/>
    <x v="1"/>
  </r>
  <r>
    <s v="ORD00948"/>
    <s v="2025-02-14"/>
    <x v="3"/>
    <n v="2025"/>
    <x v="0"/>
    <s v="Kolkata"/>
    <x v="2"/>
    <s v="Customer_7857"/>
    <x v="5"/>
    <x v="3"/>
    <n v="4"/>
    <n v="33547"/>
    <n v="26490"/>
    <n v="7057"/>
    <n v="0.21036158225772797"/>
    <x v="1"/>
  </r>
  <r>
    <s v="ORD00950"/>
    <s v="2025-04-23"/>
    <x v="8"/>
    <n v="2025"/>
    <x v="2"/>
    <s v="Delhi"/>
    <x v="3"/>
    <s v="Customer_3076"/>
    <x v="2"/>
    <x v="0"/>
    <n v="15"/>
    <n v="17428"/>
    <n v="10248"/>
    <n v="7180"/>
    <n v="0.41198072067936653"/>
    <x v="3"/>
  </r>
  <r>
    <s v="ORD00951"/>
    <s v="2025-03-05"/>
    <x v="2"/>
    <n v="2025"/>
    <x v="2"/>
    <s v="Chandigarh"/>
    <x v="5"/>
    <s v="Customer_5118"/>
    <x v="0"/>
    <x v="0"/>
    <n v="18"/>
    <n v="76346"/>
    <n v="41682"/>
    <n v="34664"/>
    <n v="0.45403819453540462"/>
    <x v="3"/>
  </r>
  <r>
    <s v="ORD00952"/>
    <s v="2025-01-24"/>
    <x v="5"/>
    <n v="2025"/>
    <x v="0"/>
    <s v="Bhubaneswar"/>
    <x v="3"/>
    <s v="Customer_7581"/>
    <x v="3"/>
    <x v="1"/>
    <n v="14"/>
    <n v="41766"/>
    <n v="25729"/>
    <n v="16037"/>
    <n v="0.38397260929943017"/>
    <x v="2"/>
  </r>
  <r>
    <s v="ORD00954"/>
    <s v="2025-12-17"/>
    <x v="1"/>
    <n v="2025"/>
    <x v="2"/>
    <s v="Delhi"/>
    <x v="1"/>
    <s v="Customer_3958"/>
    <x v="1"/>
    <x v="0"/>
    <n v="14"/>
    <n v="59805"/>
    <n v="40164"/>
    <n v="19641"/>
    <n v="0.32841735640832709"/>
    <x v="0"/>
  </r>
  <r>
    <s v="ORD00955"/>
    <s v="2025-04-17"/>
    <x v="8"/>
    <n v="2025"/>
    <x v="1"/>
    <s v="Pune"/>
    <x v="2"/>
    <s v="Customer_3354"/>
    <x v="0"/>
    <x v="0"/>
    <n v="7"/>
    <n v="28388"/>
    <n v="23875"/>
    <n v="4513"/>
    <n v="0.15897562350288855"/>
    <x v="0"/>
  </r>
  <r>
    <s v="ORD00956"/>
    <s v="2025-07-07"/>
    <x v="0"/>
    <n v="2025"/>
    <x v="1"/>
    <s v="Mumbai"/>
    <x v="6"/>
    <s v="Customer_1052"/>
    <x v="2"/>
    <x v="0"/>
    <n v="8"/>
    <n v="99132"/>
    <n v="57040"/>
    <n v="42092"/>
    <n v="0.42460557640317959"/>
    <x v="0"/>
  </r>
  <r>
    <s v="ORD00957"/>
    <s v="2025-09-26"/>
    <x v="6"/>
    <n v="2025"/>
    <x v="1"/>
    <s v="Pune"/>
    <x v="0"/>
    <s v="Customer_7440"/>
    <x v="3"/>
    <x v="1"/>
    <n v="18"/>
    <n v="39890"/>
    <n v="19267"/>
    <n v="20623"/>
    <n v="0.51699674103785409"/>
    <x v="1"/>
  </r>
  <r>
    <s v="ORD00958"/>
    <s v="2025-03-11"/>
    <x v="2"/>
    <n v="2025"/>
    <x v="1"/>
    <s v="Pune"/>
    <x v="6"/>
    <s v="Customer_2420"/>
    <x v="6"/>
    <x v="2"/>
    <n v="2"/>
    <n v="63132"/>
    <n v="37074"/>
    <n v="26058"/>
    <n v="0.41275422923398591"/>
    <x v="0"/>
  </r>
  <r>
    <s v="ORD00959"/>
    <s v="2025-12-18"/>
    <x v="1"/>
    <n v="2025"/>
    <x v="0"/>
    <s v="Bhubaneswar"/>
    <x v="5"/>
    <s v="Customer_3593"/>
    <x v="6"/>
    <x v="2"/>
    <n v="18"/>
    <n v="20027"/>
    <n v="10194"/>
    <n v="9833"/>
    <n v="0.49098716732411246"/>
    <x v="1"/>
  </r>
  <r>
    <s v="ORD00960"/>
    <s v="2025-07-06"/>
    <x v="0"/>
    <n v="2025"/>
    <x v="0"/>
    <s v="Bhubaneswar"/>
    <x v="2"/>
    <s v="Customer_5152"/>
    <x v="0"/>
    <x v="0"/>
    <n v="1"/>
    <n v="53458"/>
    <n v="30614"/>
    <n v="22844"/>
    <n v="0.42732612518238616"/>
    <x v="2"/>
  </r>
  <r>
    <s v="ORD00961"/>
    <s v="2025-07-07"/>
    <x v="0"/>
    <n v="2025"/>
    <x v="2"/>
    <s v="Delhi"/>
    <x v="2"/>
    <s v="Customer_5683"/>
    <x v="0"/>
    <x v="0"/>
    <n v="3"/>
    <n v="37994"/>
    <n v="31151"/>
    <n v="6843"/>
    <n v="0.18010738537663842"/>
    <x v="0"/>
  </r>
  <r>
    <s v="ORD00962"/>
    <s v="2025-07-11"/>
    <x v="0"/>
    <n v="2025"/>
    <x v="3"/>
    <s v="Bangalore"/>
    <x v="3"/>
    <s v="Customer_6898"/>
    <x v="7"/>
    <x v="0"/>
    <n v="9"/>
    <n v="106838"/>
    <n v="56560"/>
    <n v="50278"/>
    <n v="0.47060034819071866"/>
    <x v="1"/>
  </r>
  <r>
    <s v="ORD00963"/>
    <s v="2025-06-15"/>
    <x v="9"/>
    <n v="2025"/>
    <x v="2"/>
    <s v="Delhi"/>
    <x v="6"/>
    <s v="Customer_3521"/>
    <x v="1"/>
    <x v="0"/>
    <n v="12"/>
    <n v="37476"/>
    <n v="19341"/>
    <n v="18135"/>
    <n v="0.48390970220941404"/>
    <x v="2"/>
  </r>
  <r>
    <s v="ORD00964"/>
    <s v="2025-01-29"/>
    <x v="5"/>
    <n v="2025"/>
    <x v="0"/>
    <s v="Kolkata"/>
    <x v="4"/>
    <s v="Customer_4632"/>
    <x v="8"/>
    <x v="4"/>
    <n v="10"/>
    <n v="106387"/>
    <n v="83696"/>
    <n v="22691"/>
    <n v="0.21328733773863348"/>
    <x v="2"/>
  </r>
  <r>
    <s v="ORD00965"/>
    <s v="2025-02-06"/>
    <x v="3"/>
    <n v="2025"/>
    <x v="2"/>
    <s v="Chandigarh"/>
    <x v="6"/>
    <s v="Customer_9659"/>
    <x v="6"/>
    <x v="2"/>
    <n v="13"/>
    <n v="70172"/>
    <n v="38061"/>
    <n v="32111"/>
    <n v="0.45760417260445763"/>
    <x v="0"/>
  </r>
  <r>
    <s v="ORD00966"/>
    <s v="2025-12-02"/>
    <x v="1"/>
    <n v="2025"/>
    <x v="1"/>
    <s v="Mumbai"/>
    <x v="4"/>
    <s v="Customer_7436"/>
    <x v="8"/>
    <x v="4"/>
    <n v="14"/>
    <n v="61371"/>
    <n v="46440"/>
    <n v="14931"/>
    <n v="0.2432908051033876"/>
    <x v="1"/>
  </r>
  <r>
    <s v="ORD00967"/>
    <s v="2025-09-06"/>
    <x v="6"/>
    <n v="2025"/>
    <x v="1"/>
    <s v="Pune"/>
    <x v="6"/>
    <s v="Customer_6332"/>
    <x v="6"/>
    <x v="2"/>
    <n v="2"/>
    <n v="100580"/>
    <n v="77814"/>
    <n v="22766"/>
    <n v="0.22634718631934778"/>
    <x v="2"/>
  </r>
  <r>
    <s v="ORD00968"/>
    <s v="2025-05-21"/>
    <x v="4"/>
    <n v="2025"/>
    <x v="2"/>
    <s v="Chandigarh"/>
    <x v="0"/>
    <s v="Customer_9157"/>
    <x v="8"/>
    <x v="4"/>
    <n v="13"/>
    <n v="89916"/>
    <n v="60103"/>
    <n v="29813"/>
    <n v="0.33156501623737711"/>
    <x v="1"/>
  </r>
  <r>
    <s v="ORD00969"/>
    <s v="2025-03-25"/>
    <x v="2"/>
    <n v="2025"/>
    <x v="0"/>
    <s v="Bhubaneswar"/>
    <x v="1"/>
    <s v="Customer_5684"/>
    <x v="1"/>
    <x v="0"/>
    <n v="6"/>
    <n v="23467"/>
    <n v="15887"/>
    <n v="7580"/>
    <n v="0.32300677547193934"/>
    <x v="1"/>
  </r>
  <r>
    <s v="ORD00970"/>
    <s v="2025-03-11"/>
    <x v="2"/>
    <n v="2025"/>
    <x v="0"/>
    <s v="Kolkata"/>
    <x v="2"/>
    <s v="Customer_4445"/>
    <x v="5"/>
    <x v="3"/>
    <n v="14"/>
    <n v="103160"/>
    <n v="68091"/>
    <n v="35069"/>
    <n v="0.33994765412950756"/>
    <x v="2"/>
  </r>
  <r>
    <s v="ORD00971"/>
    <s v="2025-10-01"/>
    <x v="7"/>
    <n v="2025"/>
    <x v="2"/>
    <s v="Delhi"/>
    <x v="2"/>
    <s v="Customer_7866"/>
    <x v="0"/>
    <x v="0"/>
    <n v="20"/>
    <n v="18487"/>
    <n v="14283"/>
    <n v="4204"/>
    <n v="0.2274030399740358"/>
    <x v="1"/>
  </r>
  <r>
    <s v="ORD00972"/>
    <s v="2025-06-25"/>
    <x v="9"/>
    <n v="2025"/>
    <x v="0"/>
    <s v="Bhubaneswar"/>
    <x v="3"/>
    <s v="Customer_4697"/>
    <x v="7"/>
    <x v="0"/>
    <n v="15"/>
    <n v="68687"/>
    <n v="30991"/>
    <n v="37696"/>
    <n v="0.54880836257224808"/>
    <x v="3"/>
  </r>
  <r>
    <s v="ORD00973"/>
    <s v="2025-08-15"/>
    <x v="10"/>
    <n v="2025"/>
    <x v="0"/>
    <s v="Kolkata"/>
    <x v="6"/>
    <s v="Customer_8126"/>
    <x v="6"/>
    <x v="2"/>
    <n v="23"/>
    <n v="79051"/>
    <n v="36913"/>
    <n v="42138"/>
    <n v="0.53304828528418358"/>
    <x v="1"/>
  </r>
  <r>
    <s v="ORD00974"/>
    <s v="2025-09-30"/>
    <x v="6"/>
    <n v="2025"/>
    <x v="0"/>
    <s v="Kolkata"/>
    <x v="3"/>
    <s v="Customer_7863"/>
    <x v="0"/>
    <x v="0"/>
    <n v="17"/>
    <n v="20088"/>
    <n v="14487"/>
    <n v="5601"/>
    <n v="0.2788231780167264"/>
    <x v="3"/>
  </r>
  <r>
    <s v="ORD00975"/>
    <s v="2025-04-23"/>
    <x v="8"/>
    <n v="2025"/>
    <x v="0"/>
    <s v="Bhubaneswar"/>
    <x v="5"/>
    <s v="Customer_3153"/>
    <x v="0"/>
    <x v="0"/>
    <n v="10"/>
    <n v="51506"/>
    <n v="23748"/>
    <n v="27758"/>
    <n v="0.53892750359181452"/>
    <x v="0"/>
  </r>
  <r>
    <s v="ORD00976"/>
    <s v="2025-09-20"/>
    <x v="6"/>
    <n v="2025"/>
    <x v="2"/>
    <s v="Delhi"/>
    <x v="1"/>
    <s v="Customer_7399"/>
    <x v="3"/>
    <x v="1"/>
    <n v="5"/>
    <n v="60178"/>
    <n v="49841"/>
    <n v="10337"/>
    <n v="0.17177373791086445"/>
    <x v="3"/>
  </r>
  <r>
    <s v="ORD00978"/>
    <s v="2025-06-13"/>
    <x v="9"/>
    <n v="2025"/>
    <x v="2"/>
    <s v="Delhi"/>
    <x v="2"/>
    <s v="Customer_6963"/>
    <x v="7"/>
    <x v="0"/>
    <n v="14"/>
    <n v="10339"/>
    <n v="5347"/>
    <n v="4992"/>
    <n v="0.48283199535738464"/>
    <x v="1"/>
  </r>
  <r>
    <s v="ORD00979"/>
    <s v="2025-11-24"/>
    <x v="11"/>
    <n v="2025"/>
    <x v="1"/>
    <s v="Pune"/>
    <x v="5"/>
    <s v="Customer_3410"/>
    <x v="3"/>
    <x v="1"/>
    <n v="17"/>
    <n v="91101"/>
    <n v="61368"/>
    <n v="29733"/>
    <n v="0.32637402443441893"/>
    <x v="1"/>
  </r>
  <r>
    <s v="ORD00980"/>
    <s v="2025-01-01"/>
    <x v="5"/>
    <n v="2025"/>
    <x v="2"/>
    <s v="Delhi"/>
    <x v="7"/>
    <s v="Customer_1943"/>
    <x v="8"/>
    <x v="4"/>
    <n v="16"/>
    <n v="99452"/>
    <n v="74218"/>
    <n v="25234"/>
    <n v="0.25373044282669027"/>
    <x v="1"/>
  </r>
  <r>
    <s v="ORD00981"/>
    <s v="2025-02-14"/>
    <x v="3"/>
    <n v="2025"/>
    <x v="0"/>
    <s v="Kolkata"/>
    <x v="1"/>
    <s v="Customer_7701"/>
    <x v="0"/>
    <x v="0"/>
    <n v="3"/>
    <n v="73599"/>
    <n v="42013"/>
    <n v="31586"/>
    <n v="0.42916343972064835"/>
    <x v="1"/>
  </r>
  <r>
    <s v="ORD00982"/>
    <s v="2025-12-19"/>
    <x v="1"/>
    <n v="2025"/>
    <x v="2"/>
    <s v="Delhi"/>
    <x v="3"/>
    <s v="Customer_8147"/>
    <x v="7"/>
    <x v="0"/>
    <n v="8"/>
    <n v="54944"/>
    <n v="25836"/>
    <n v="29108"/>
    <n v="0.52977577169481649"/>
    <x v="0"/>
  </r>
  <r>
    <s v="ORD00983"/>
    <s v="2025-05-18"/>
    <x v="4"/>
    <n v="2025"/>
    <x v="1"/>
    <s v="Mumbai"/>
    <x v="4"/>
    <s v="Customer_6743"/>
    <x v="0"/>
    <x v="0"/>
    <n v="16"/>
    <n v="68268"/>
    <n v="41081"/>
    <n v="27187"/>
    <n v="0.3982392922013242"/>
    <x v="0"/>
  </r>
  <r>
    <s v="ORD00984"/>
    <s v="2025-03-17"/>
    <x v="2"/>
    <n v="2025"/>
    <x v="2"/>
    <s v="Delhi"/>
    <x v="3"/>
    <s v="Customer_9397"/>
    <x v="2"/>
    <x v="0"/>
    <n v="13"/>
    <n v="103926"/>
    <n v="82362"/>
    <n v="21564"/>
    <n v="0.20749379366087409"/>
    <x v="3"/>
  </r>
  <r>
    <s v="ORD00985"/>
    <s v="2025-10-05"/>
    <x v="7"/>
    <n v="2025"/>
    <x v="2"/>
    <s v="Delhi"/>
    <x v="1"/>
    <s v="Customer_2407"/>
    <x v="1"/>
    <x v="0"/>
    <n v="23"/>
    <n v="72973"/>
    <n v="43367"/>
    <n v="29606"/>
    <n v="0.40571170158825864"/>
    <x v="3"/>
  </r>
  <r>
    <s v="ORD00986"/>
    <s v="2025-10-13"/>
    <x v="7"/>
    <n v="2025"/>
    <x v="3"/>
    <s v="Chennai"/>
    <x v="0"/>
    <s v="Customer_8320"/>
    <x v="7"/>
    <x v="0"/>
    <n v="9"/>
    <n v="113157"/>
    <n v="95492"/>
    <n v="17665"/>
    <n v="0.15611053668796451"/>
    <x v="2"/>
  </r>
  <r>
    <s v="ORD00987"/>
    <s v="2025-05-04"/>
    <x v="4"/>
    <n v="2025"/>
    <x v="3"/>
    <s v="Chennai"/>
    <x v="3"/>
    <s v="Customer_1516"/>
    <x v="6"/>
    <x v="2"/>
    <n v="6"/>
    <n v="76339"/>
    <n v="56503"/>
    <n v="19836"/>
    <n v="0.25984097250422455"/>
    <x v="2"/>
  </r>
  <r>
    <s v="ORD00988"/>
    <s v="2025-04-05"/>
    <x v="8"/>
    <n v="2025"/>
    <x v="0"/>
    <s v="Kolkata"/>
    <x v="3"/>
    <s v="Customer_5417"/>
    <x v="6"/>
    <x v="2"/>
    <n v="2"/>
    <n v="103378"/>
    <n v="80729"/>
    <n v="22649"/>
    <n v="0.21908916790806554"/>
    <x v="2"/>
  </r>
  <r>
    <s v="ORD00989"/>
    <s v="2025-11-15"/>
    <x v="11"/>
    <n v="2025"/>
    <x v="3"/>
    <s v="Bangalore"/>
    <x v="6"/>
    <s v="Customer_7318"/>
    <x v="7"/>
    <x v="0"/>
    <n v="10"/>
    <n v="86919"/>
    <n v="56259"/>
    <n v="30660"/>
    <n v="0.35274220826286545"/>
    <x v="3"/>
  </r>
  <r>
    <s v="ORD00990"/>
    <s v="2025-11-11"/>
    <x v="11"/>
    <n v="2025"/>
    <x v="1"/>
    <s v="Pune"/>
    <x v="1"/>
    <s v="Customer_1376"/>
    <x v="6"/>
    <x v="2"/>
    <n v="24"/>
    <n v="35965"/>
    <n v="28191"/>
    <n v="7774"/>
    <n v="0.21615459474489088"/>
    <x v="1"/>
  </r>
  <r>
    <s v="ORD00991"/>
    <s v="2025-08-18"/>
    <x v="10"/>
    <n v="2025"/>
    <x v="1"/>
    <s v="Pune"/>
    <x v="7"/>
    <s v="Customer_9159"/>
    <x v="1"/>
    <x v="0"/>
    <n v="7"/>
    <n v="79863"/>
    <n v="52810"/>
    <n v="27053"/>
    <n v="0.33874259669684337"/>
    <x v="0"/>
  </r>
  <r>
    <s v="ORD00992"/>
    <s v="2025-01-06"/>
    <x v="5"/>
    <n v="2025"/>
    <x v="2"/>
    <s v="Delhi"/>
    <x v="0"/>
    <s v="Customer_9535"/>
    <x v="3"/>
    <x v="1"/>
    <n v="5"/>
    <n v="92592"/>
    <n v="77293"/>
    <n v="15299"/>
    <n v="0.16523025747364783"/>
    <x v="1"/>
  </r>
  <r>
    <s v="ORD00993"/>
    <s v="2025-03-03"/>
    <x v="2"/>
    <n v="2025"/>
    <x v="0"/>
    <s v="Bhubaneswar"/>
    <x v="6"/>
    <s v="Customer_4526"/>
    <x v="4"/>
    <x v="2"/>
    <n v="24"/>
    <n v="79053"/>
    <n v="38353"/>
    <n v="40700"/>
    <n v="0.51484447143055923"/>
    <x v="1"/>
  </r>
  <r>
    <s v="ORD00994"/>
    <s v="2025-09-20"/>
    <x v="6"/>
    <n v="2025"/>
    <x v="3"/>
    <s v="Bangalore"/>
    <x v="5"/>
    <s v="Customer_7997"/>
    <x v="5"/>
    <x v="3"/>
    <n v="23"/>
    <n v="49957"/>
    <n v="38894"/>
    <n v="11063"/>
    <n v="0.22145044738475089"/>
    <x v="0"/>
  </r>
  <r>
    <s v="ORD00995"/>
    <s v="2025-02-09"/>
    <x v="3"/>
    <n v="2025"/>
    <x v="2"/>
    <s v="Chandigarh"/>
    <x v="3"/>
    <s v="Customer_8618"/>
    <x v="5"/>
    <x v="3"/>
    <n v="10"/>
    <n v="74590"/>
    <n v="57831"/>
    <n v="16759"/>
    <n v="0.22468159270679716"/>
    <x v="1"/>
  </r>
  <r>
    <s v="ORD00996"/>
    <s v="2025-03-05"/>
    <x v="2"/>
    <n v="2025"/>
    <x v="1"/>
    <s v="Pune"/>
    <x v="6"/>
    <s v="Customer_2003"/>
    <x v="4"/>
    <x v="2"/>
    <n v="12"/>
    <n v="47347"/>
    <n v="37486"/>
    <n v="9861"/>
    <n v="0.20827085137389909"/>
    <x v="0"/>
  </r>
  <r>
    <s v="ORD00997"/>
    <s v="2025-01-11"/>
    <x v="5"/>
    <n v="2025"/>
    <x v="2"/>
    <s v="Chandigarh"/>
    <x v="7"/>
    <s v="Customer_1606"/>
    <x v="8"/>
    <x v="4"/>
    <n v="19"/>
    <n v="107512"/>
    <n v="53864"/>
    <n v="53648"/>
    <n v="0.49899546097179848"/>
    <x v="2"/>
  </r>
  <r>
    <s v="ORD00998"/>
    <s v="2025-07-15"/>
    <x v="0"/>
    <n v="2025"/>
    <x v="0"/>
    <s v="Kolkata"/>
    <x v="1"/>
    <s v="Customer_6509"/>
    <x v="6"/>
    <x v="2"/>
    <n v="25"/>
    <n v="97767"/>
    <n v="80267"/>
    <n v="17500"/>
    <n v="0.17899700307874844"/>
    <x v="0"/>
  </r>
  <r>
    <s v="ORD00999"/>
    <s v="2025-10-31"/>
    <x v="7"/>
    <n v="2025"/>
    <x v="1"/>
    <s v="Mumbai"/>
    <x v="7"/>
    <s v="Customer_9456"/>
    <x v="8"/>
    <x v="4"/>
    <n v="14"/>
    <n v="9193"/>
    <n v="6684"/>
    <n v="2509"/>
    <n v="0.27292505166974873"/>
    <x v="1"/>
  </r>
  <r>
    <s v="ORD01000"/>
    <s v="2025-01-18"/>
    <x v="5"/>
    <n v="2025"/>
    <x v="1"/>
    <s v="Pune"/>
    <x v="4"/>
    <s v="Customer_8935"/>
    <x v="1"/>
    <x v="0"/>
    <n v="5"/>
    <n v="116720"/>
    <n v="70683"/>
    <n v="46037"/>
    <n v="0.39442254969156959"/>
    <x v="3"/>
  </r>
  <r>
    <s v="ORD00001"/>
    <s v="2025-07-04"/>
    <x v="0"/>
    <n v="2025"/>
    <x v="0"/>
    <s v="Kolkata"/>
    <x v="0"/>
    <s v="Customer_7901"/>
    <x v="0"/>
    <x v="0"/>
    <n v="18"/>
    <n v="86384"/>
    <n v="63380"/>
    <n v="23004"/>
    <n v="0.26629931468790519"/>
    <x v="0"/>
  </r>
  <r>
    <s v="ORD00002"/>
    <s v="2025-12-26"/>
    <x v="1"/>
    <n v="2025"/>
    <x v="1"/>
    <s v="Mumbai"/>
    <x v="1"/>
    <s v="Customer_4822"/>
    <x v="1"/>
    <x v="0"/>
    <n v="20"/>
    <n v="41990"/>
    <n v="20198"/>
    <n v="21792"/>
    <n v="0.51898070969278398"/>
    <x v="1"/>
  </r>
  <r>
    <s v="ORD00003"/>
    <s v="2025-03-06"/>
    <x v="2"/>
    <n v="2025"/>
    <x v="2"/>
    <s v="Chandigarh"/>
    <x v="2"/>
    <s v="Customer_5585"/>
    <x v="2"/>
    <x v="0"/>
    <n v="23"/>
    <n v="92549"/>
    <n v="75570"/>
    <n v="16979"/>
    <n v="0.18345957276685865"/>
    <x v="0"/>
  </r>
  <r>
    <s v="ORD00004"/>
    <s v="2025-02-16"/>
    <x v="3"/>
    <n v="2025"/>
    <x v="1"/>
    <s v="Mumbai"/>
    <x v="3"/>
    <s v="Customer_5931"/>
    <x v="0"/>
    <x v="0"/>
    <n v="21"/>
    <n v="78579"/>
    <n v="52104"/>
    <n v="26475"/>
    <n v="0.3369220784178979"/>
    <x v="0"/>
  </r>
  <r>
    <s v="ORD00005"/>
    <s v="2025-02-13"/>
    <x v="3"/>
    <n v="2025"/>
    <x v="0"/>
    <s v="Bhubaneswar"/>
    <x v="3"/>
    <s v="Customer_8955"/>
    <x v="3"/>
    <x v="1"/>
    <n v="5"/>
    <n v="84740"/>
    <n v="61171"/>
    <n v="23569"/>
    <n v="0.27813311305168753"/>
    <x v="1"/>
  </r>
  <r>
    <s v="ORD00006"/>
    <s v="2025-05-08"/>
    <x v="4"/>
    <n v="2025"/>
    <x v="0"/>
    <s v="Bhubaneswar"/>
    <x v="4"/>
    <s v="Customer_7793"/>
    <x v="4"/>
    <x v="2"/>
    <n v="16"/>
    <n v="116539"/>
    <n v="75378"/>
    <n v="41161"/>
    <n v="0.35319506774556159"/>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B44C60-B15D-4E95-8C98-7B981BED01D3}" name="PivotTable2" cacheId="9" applyNumberFormats="0" applyBorderFormats="0" applyFontFormats="0" applyPatternFormats="0" applyAlignmentFormats="0" applyWidthHeightFormats="1" dataCaption="Values" updatedVersion="8" minRefreshableVersion="3" preserveFormatting="0" pageWrap="2" pageOverThenDown="1" itemPrintTitles="1" mergeItem="1" createdVersion="8" indent="0" outline="1" outlineData="1" multipleFieldFilters="0" chartFormat="3">
  <location ref="D10:E15" firstHeaderRow="1" firstDataRow="1" firstDataCol="1"/>
  <pivotFields count="16">
    <pivotField showAll="0"/>
    <pivotField showAll="0"/>
    <pivotField showAll="0"/>
    <pivotField showAll="0"/>
    <pivotField axis="axisRow" showAll="0" measureFilter="1">
      <items count="5">
        <item x="0"/>
        <item x="2"/>
        <item x="3"/>
        <item x="1"/>
        <item t="default"/>
      </items>
    </pivotField>
    <pivotField showAll="0"/>
    <pivotField showAll="0">
      <items count="9">
        <item x="0"/>
        <item x="7"/>
        <item x="4"/>
        <item x="2"/>
        <item x="6"/>
        <item x="1"/>
        <item x="5"/>
        <item x="3"/>
        <item t="default"/>
      </items>
    </pivotField>
    <pivotField showAll="0"/>
    <pivotField showAll="0"/>
    <pivotField showAll="0"/>
    <pivotField showAll="0"/>
    <pivotField dataField="1" showAll="0"/>
    <pivotField showAll="0"/>
    <pivotField showAll="0"/>
    <pivotField numFmtId="2" showAll="0"/>
    <pivotField showAll="0"/>
  </pivotFields>
  <rowFields count="1">
    <field x="4"/>
  </rowFields>
  <rowItems count="5">
    <i>
      <x/>
    </i>
    <i>
      <x v="1"/>
    </i>
    <i>
      <x v="2"/>
    </i>
    <i>
      <x v="3"/>
    </i>
    <i t="grand">
      <x/>
    </i>
  </rowItems>
  <colItems count="1">
    <i/>
  </colItems>
  <dataFields count="1">
    <dataField name="Sum of Sales_Amount" fld="11"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B98E34-0373-4CB0-AFC5-E91748D1418D}" name="PivotTable4" cacheId="9" applyNumberFormats="0" applyBorderFormats="0" applyFontFormats="0" applyPatternFormats="0" applyAlignmentFormats="0" applyWidthHeightFormats="1" dataCaption="Values" updatedVersion="8" minRefreshableVersion="3" preserveFormatting="0" pageOverThenDown="1" itemPrintTitles="1" createdVersion="8" indent="0" outline="1" outlineData="1" multipleFieldFilters="0" chartFormat="2">
  <location ref="J10:K16" firstHeaderRow="1" firstDataRow="1" firstDataCol="1"/>
  <pivotFields count="16">
    <pivotField showAll="0"/>
    <pivotField showAll="0"/>
    <pivotField showAll="0"/>
    <pivotField showAll="0"/>
    <pivotField showAll="0"/>
    <pivotField showAll="0"/>
    <pivotField showAll="0"/>
    <pivotField showAll="0"/>
    <pivotField axis="axisRow" showAll="0" measureFilter="1">
      <items count="10">
        <item x="3"/>
        <item x="6"/>
        <item x="2"/>
        <item x="1"/>
        <item x="4"/>
        <item x="8"/>
        <item x="5"/>
        <item x="7"/>
        <item x="0"/>
        <item t="default"/>
      </items>
    </pivotField>
    <pivotField showAll="0"/>
    <pivotField showAll="0"/>
    <pivotField dataField="1" showAll="0"/>
    <pivotField showAll="0"/>
    <pivotField showAll="0"/>
    <pivotField numFmtId="2" showAll="0"/>
    <pivotField showAll="0">
      <items count="5">
        <item x="3"/>
        <item x="2"/>
        <item x="1"/>
        <item x="0"/>
        <item t="default"/>
      </items>
    </pivotField>
  </pivotFields>
  <rowFields count="1">
    <field x="8"/>
  </rowFields>
  <rowItems count="6">
    <i>
      <x/>
    </i>
    <i>
      <x v="3"/>
    </i>
    <i>
      <x v="4"/>
    </i>
    <i>
      <x v="5"/>
    </i>
    <i>
      <x v="8"/>
    </i>
    <i t="grand">
      <x/>
    </i>
  </rowItems>
  <colItems count="1">
    <i/>
  </colItems>
  <dataFields count="1">
    <dataField name="Sum of Sales_Amount" fld="11"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8"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57E9D2A-C173-455E-9E9A-B176747DBB4F}" name="PivotTable1" cacheId="9" applyNumberFormats="0" applyBorderFormats="0" applyFontFormats="0" applyPatternFormats="0" applyAlignmentFormats="0" applyWidthHeightFormats="1" dataCaption="Values" errorCaption="0" showError="1" updatedVersion="8" minRefreshableVersion="3" enableDrill="0" preserveFormatting="0" pageWrap="2" pageOverThenDown="1" itemPrintTitles="1" mergeItem="1" createdVersion="8" indent="0" outline="1" outlineData="1" multipleFieldFilters="0" chartFormat="4">
  <location ref="A10:B16" firstHeaderRow="1" firstDataRow="1" firstDataCol="1"/>
  <pivotFields count="16">
    <pivotField showAll="0"/>
    <pivotField showAll="0"/>
    <pivotField axis="axisRow" showAll="0" measureFilter="1">
      <items count="13">
        <item x="5"/>
        <item x="3"/>
        <item x="2"/>
        <item x="8"/>
        <item x="4"/>
        <item x="9"/>
        <item x="0"/>
        <item x="10"/>
        <item x="6"/>
        <item x="7"/>
        <item x="11"/>
        <item x="1"/>
        <item t="default"/>
      </items>
    </pivotField>
    <pivotField showAll="0"/>
    <pivotField showAll="0"/>
    <pivotField showAll="0"/>
    <pivotField showAll="0">
      <items count="9">
        <item x="0"/>
        <item x="7"/>
        <item x="4"/>
        <item x="2"/>
        <item x="6"/>
        <item x="1"/>
        <item x="5"/>
        <item x="3"/>
        <item t="default"/>
      </items>
    </pivotField>
    <pivotField showAll="0"/>
    <pivotField showAll="0"/>
    <pivotField showAll="0"/>
    <pivotField showAll="0"/>
    <pivotField dataField="1" showAll="0"/>
    <pivotField showAll="0"/>
    <pivotField showAll="0"/>
    <pivotField numFmtId="2" showAll="0"/>
    <pivotField showAll="0"/>
  </pivotFields>
  <rowFields count="1">
    <field x="2"/>
  </rowFields>
  <rowItems count="6">
    <i>
      <x v="2"/>
    </i>
    <i>
      <x v="4"/>
    </i>
    <i>
      <x v="6"/>
    </i>
    <i>
      <x v="7"/>
    </i>
    <i>
      <x v="8"/>
    </i>
    <i t="grand">
      <x/>
    </i>
  </rowItems>
  <colItems count="1">
    <i/>
  </colItems>
  <dataFields count="1">
    <dataField name="Sum of Sales_Amount" fld="11"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2"/>
          </reference>
        </references>
      </pivotArea>
    </chartFormat>
    <chartFormat chart="0" format="2">
      <pivotArea type="data" outline="0" fieldPosition="0">
        <references count="2">
          <reference field="4294967294" count="1" selected="0">
            <x v="0"/>
          </reference>
          <reference field="2" count="1" selected="0">
            <x v="4"/>
          </reference>
        </references>
      </pivotArea>
    </chartFormat>
    <chartFormat chart="0" format="3">
      <pivotArea type="data" outline="0" fieldPosition="0">
        <references count="2">
          <reference field="4294967294" count="1" selected="0">
            <x v="0"/>
          </reference>
          <reference field="2" count="1" selected="0">
            <x v="5"/>
          </reference>
        </references>
      </pivotArea>
    </chartFormat>
    <chartFormat chart="0" format="4">
      <pivotArea type="data" outline="0" fieldPosition="0">
        <references count="2">
          <reference field="4294967294" count="1" selected="0">
            <x v="0"/>
          </reference>
          <reference field="2" count="1" selected="0">
            <x v="8"/>
          </reference>
        </references>
      </pivotArea>
    </chartFormat>
    <chartFormat chart="0" format="5">
      <pivotArea type="data" outline="0" fieldPosition="0">
        <references count="2">
          <reference field="4294967294" count="1" selected="0">
            <x v="0"/>
          </reference>
          <reference field="2" count="1" selected="0">
            <x v="10"/>
          </reference>
        </references>
      </pivotArea>
    </chartFormat>
    <chartFormat chart="0" format="6">
      <pivotArea type="data" outline="0" fieldPosition="0">
        <references count="2">
          <reference field="4294967294" count="1" selected="0">
            <x v="0"/>
          </reference>
          <reference field="2" count="1" selected="0">
            <x v="6"/>
          </reference>
        </references>
      </pivotArea>
    </chartFormat>
    <chartFormat chart="0" format="7">
      <pivotArea type="data" outline="0" fieldPosition="0">
        <references count="2">
          <reference field="4294967294" count="1" selected="0">
            <x v="0"/>
          </reference>
          <reference field="2" count="1" selected="0">
            <x v="7"/>
          </reference>
        </references>
      </pivotArea>
    </chartFormat>
  </chartFormats>
  <pivotTableStyleInfo showRowHeaders="1" showColHeaders="1" showRowStripes="0" showColStripes="0" showLastColumn="1"/>
  <filters count="1">
    <filter fld="2" type="count" evalOrder="-1" id="17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5605088-1EEE-4192-81AA-B42C87E48751}" name="PivotTable3" cacheId="9" applyNumberFormats="0" applyBorderFormats="0" applyFontFormats="0" applyPatternFormats="0" applyAlignmentFormats="0" applyWidthHeightFormats="1" dataCaption="Values" updatedVersion="8" minRefreshableVersion="3" preserveFormatting="0" pageOverThenDown="1" itemPrintTitles="1" createdVersion="8" indent="0" outline="1" outlineData="1" multipleFieldFilters="0" chartFormat="3">
  <location ref="G10:H16" firstHeaderRow="1" firstDataRow="1" firstDataCol="1"/>
  <pivotFields count="16">
    <pivotField showAll="0"/>
    <pivotField showAll="0"/>
    <pivotField showAll="0"/>
    <pivotField showAll="0"/>
    <pivotField showAll="0"/>
    <pivotField showAll="0"/>
    <pivotField showAll="0"/>
    <pivotField showAll="0"/>
    <pivotField showAll="0"/>
    <pivotField axis="axisRow" showAll="0" measureFilter="1">
      <items count="6">
        <item x="2"/>
        <item x="0"/>
        <item x="1"/>
        <item x="3"/>
        <item x="4"/>
        <item t="default"/>
      </items>
    </pivotField>
    <pivotField showAll="0"/>
    <pivotField dataField="1" showAll="0"/>
    <pivotField showAll="0"/>
    <pivotField showAll="0"/>
    <pivotField numFmtId="2" showAll="0"/>
    <pivotField showAll="0">
      <items count="5">
        <item x="3"/>
        <item x="2"/>
        <item x="1"/>
        <item x="0"/>
        <item t="default"/>
      </items>
    </pivotField>
  </pivotFields>
  <rowFields count="1">
    <field x="9"/>
  </rowFields>
  <rowItems count="6">
    <i>
      <x/>
    </i>
    <i>
      <x v="1"/>
    </i>
    <i>
      <x v="2"/>
    </i>
    <i>
      <x v="3"/>
    </i>
    <i>
      <x v="4"/>
    </i>
    <i t="grand">
      <x/>
    </i>
  </rowItems>
  <colItems count="1">
    <i/>
  </colItems>
  <dataFields count="1">
    <dataField name="Sum of Sales_Amount" fld="11"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9" count="1" selected="0">
            <x v="0"/>
          </reference>
        </references>
      </pivotArea>
    </chartFormat>
    <chartFormat chart="0" format="2">
      <pivotArea type="data" outline="0" fieldPosition="0">
        <references count="2">
          <reference field="4294967294" count="1" selected="0">
            <x v="0"/>
          </reference>
          <reference field="9" count="1" selected="0">
            <x v="1"/>
          </reference>
        </references>
      </pivotArea>
    </chartFormat>
    <chartFormat chart="0" format="3">
      <pivotArea type="data" outline="0" fieldPosition="0">
        <references count="2">
          <reference field="4294967294" count="1" selected="0">
            <x v="0"/>
          </reference>
          <reference field="9" count="1" selected="0">
            <x v="2"/>
          </reference>
        </references>
      </pivotArea>
    </chartFormat>
    <chartFormat chart="0" format="4">
      <pivotArea type="data" outline="0" fieldPosition="0">
        <references count="2">
          <reference field="4294967294" count="1" selected="0">
            <x v="0"/>
          </reference>
          <reference field="9" count="1" selected="0">
            <x v="3"/>
          </reference>
        </references>
      </pivotArea>
    </chartFormat>
    <chartFormat chart="0" format="5">
      <pivotArea type="data" outline="0" fieldPosition="0">
        <references count="2">
          <reference field="4294967294" count="1" selected="0">
            <x v="0"/>
          </reference>
          <reference field="9" count="1" selected="0">
            <x v="4"/>
          </reference>
        </references>
      </pivotArea>
    </chartFormat>
  </chartFormats>
  <pivotTableStyleInfo showRowHeaders="1" showColHeaders="1" showRowStripes="0" showColStripes="0" showLastColumn="1"/>
  <filters count="1">
    <filter fld="9"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926A8E15-21D0-4C26-BDC4-BEF09BF3ADF1}" sourceName="Payment_Mode">
  <pivotTables>
    <pivotTable tabId="4" name="PivotTable3"/>
    <pivotTable tabId="4" name="PivotTable4"/>
  </pivotTables>
  <data>
    <tabular pivotCacheId="1356657436">
      <items count="4">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010F387B-1395-43E6-BB05-C35B15F0D945}" sourceName="Salesperson">
  <pivotTables>
    <pivotTable tabId="4" name="PivotTable2"/>
    <pivotTable tabId="4" name="PivotTable1"/>
  </pivotTables>
  <data>
    <tabular pivotCacheId="1356657436">
      <items count="8">
        <i x="0" s="1"/>
        <i x="7" s="1"/>
        <i x="4" s="1"/>
        <i x="2" s="1"/>
        <i x="6" s="1"/>
        <i x="1" s="1"/>
        <i x="5"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_Mode" xr10:uid="{9B98D912-64F0-4838-AE69-8A485115C723}" cache="Slicer_Payment_Mode" caption="Payment_Mode" columnCount="4" showCaption="0" rowHeight="288000"/>
  <slicer name="Salesperson" xr10:uid="{FEB0C645-655B-4A47-AC9E-64F793967AF5}" cache="Slicer_Salesperson" caption="Salesperson" columnCount="8" showCaption="0"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D0B910-EAB9-4DB0-9150-461EE76579D6}" name="Table1" displayName="Table1" ref="A1:P960" totalsRowShown="0" headerRowDxfId="3">
  <autoFilter ref="A1:P960" xr:uid="{A4D0B910-EAB9-4DB0-9150-461EE76579D6}"/>
  <tableColumns count="16">
    <tableColumn id="1" xr3:uid="{851DD3A4-B554-4C83-9664-A1572A67DB8C}" name="Order_ID"/>
    <tableColumn id="2" xr3:uid="{4639100D-FA2A-484A-8A3A-34E9BF20C81F}" name="Order_Date"/>
    <tableColumn id="15" xr3:uid="{F3CC52F1-E7DF-44B3-AE2A-CAC91AEBAA8F}" name="Month" dataDxfId="2">
      <calculatedColumnFormula>TEXT(Table1[[#This Row],[Order_Date]],"mmm")</calculatedColumnFormula>
    </tableColumn>
    <tableColumn id="14" xr3:uid="{82FC6C51-B6C7-422B-BB90-3970787A3767}" name="Year" dataDxfId="1">
      <calculatedColumnFormula>YEAR(Table1[[#This Row],[Order_Date]])</calculatedColumnFormula>
    </tableColumn>
    <tableColumn id="3" xr3:uid="{7F0A1088-DB6A-4633-83B6-44DBABE436FE}" name="Region"/>
    <tableColumn id="4" xr3:uid="{B60731F1-9325-43CD-9F2D-F4400B8592EE}" name="City"/>
    <tableColumn id="5" xr3:uid="{314920A6-1FAE-4CFF-9B03-4C9140DE3B37}" name="Salesperson"/>
    <tableColumn id="6" xr3:uid="{9C96D6B4-89BE-4ACB-ADD3-7E1782FA6C74}" name="Customer_Name"/>
    <tableColumn id="7" xr3:uid="{5B3DA3FC-D9CF-44B7-9DEC-D0219F0440D8}" name="Product"/>
    <tableColumn id="8" xr3:uid="{F337D261-6768-4715-B58F-494C2AF34A0D}" name="Category"/>
    <tableColumn id="9" xr3:uid="{1BBC88FF-EBF0-4E61-BD0E-CDA5A0426E82}" name="Units_Sold"/>
    <tableColumn id="10" xr3:uid="{624097BF-FE18-4F31-8C84-39CDE53B5F84}" name="Sales_Amount"/>
    <tableColumn id="11" xr3:uid="{35933E22-666B-4AF6-9EE5-1CE86795B491}" name="Cost_Amount"/>
    <tableColumn id="12" xr3:uid="{95AEC7B0-7F39-465F-B14E-6BB989B4A5F6}" name="Profit"/>
    <tableColumn id="17" xr3:uid="{1877C03A-4485-48B2-8790-FE6850346BD5}" name="Percentage" dataDxfId="0">
      <calculatedColumnFormula>Table1[[#This Row],[Profit]]/Table1[[#This Row],[Sales_Amount]]</calculatedColumnFormula>
    </tableColumn>
    <tableColumn id="13" xr3:uid="{80CAE68D-2A2A-4EC3-B450-36326BFC1ABF}" name="Payment_Mode"/>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36"/>
  <sheetViews>
    <sheetView topLeftCell="A14" zoomScale="120" workbookViewId="0"/>
  </sheetViews>
  <sheetFormatPr defaultRowHeight="14.5" x14ac:dyDescent="0.35"/>
  <cols>
    <col min="1" max="1" width="75" customWidth="1"/>
  </cols>
  <sheetData>
    <row r="1" spans="1:1" x14ac:dyDescent="0.35">
      <c r="A1" s="1" t="s">
        <v>0</v>
      </c>
    </row>
    <row r="2" spans="1:1" x14ac:dyDescent="0.35">
      <c r="A2" s="1"/>
    </row>
    <row r="3" spans="1:1" x14ac:dyDescent="0.35">
      <c r="A3" s="1" t="s">
        <v>1</v>
      </c>
    </row>
    <row r="4" spans="1:1" x14ac:dyDescent="0.35">
      <c r="A4" s="1" t="s">
        <v>2</v>
      </c>
    </row>
    <row r="5" spans="1:1" x14ac:dyDescent="0.35">
      <c r="A5" s="1" t="s">
        <v>3</v>
      </c>
    </row>
    <row r="6" spans="1:1" x14ac:dyDescent="0.35">
      <c r="A6" s="1"/>
    </row>
    <row r="7" spans="1:1" x14ac:dyDescent="0.35">
      <c r="A7" s="1" t="s">
        <v>4</v>
      </c>
    </row>
    <row r="8" spans="1:1" x14ac:dyDescent="0.35">
      <c r="A8" s="1" t="s">
        <v>5</v>
      </c>
    </row>
    <row r="9" spans="1:1" x14ac:dyDescent="0.35">
      <c r="A9" s="1" t="s">
        <v>6</v>
      </c>
    </row>
    <row r="10" spans="1:1" x14ac:dyDescent="0.35">
      <c r="A10" s="1" t="s">
        <v>7</v>
      </c>
    </row>
    <row r="11" spans="1:1" x14ac:dyDescent="0.35">
      <c r="A11" s="1" t="s">
        <v>8</v>
      </c>
    </row>
    <row r="12" spans="1:1" x14ac:dyDescent="0.35">
      <c r="A12" s="1" t="s">
        <v>9</v>
      </c>
    </row>
    <row r="13" spans="1:1" x14ac:dyDescent="0.35">
      <c r="A13" s="1" t="s">
        <v>10</v>
      </c>
    </row>
    <row r="14" spans="1:1" x14ac:dyDescent="0.35">
      <c r="A14" s="1" t="s">
        <v>11</v>
      </c>
    </row>
    <row r="15" spans="1:1" x14ac:dyDescent="0.35">
      <c r="A15" s="1" t="s">
        <v>12</v>
      </c>
    </row>
    <row r="16" spans="1:1" x14ac:dyDescent="0.35">
      <c r="A16" s="1" t="s">
        <v>13</v>
      </c>
    </row>
    <row r="17" spans="1:1" x14ac:dyDescent="0.35">
      <c r="A17" s="1" t="s">
        <v>14</v>
      </c>
    </row>
    <row r="18" spans="1:1" x14ac:dyDescent="0.35">
      <c r="A18" s="1"/>
    </row>
    <row r="19" spans="1:1" x14ac:dyDescent="0.35">
      <c r="A19" s="1" t="s">
        <v>15</v>
      </c>
    </row>
    <row r="20" spans="1:1" x14ac:dyDescent="0.35">
      <c r="A20" s="1" t="s">
        <v>16</v>
      </c>
    </row>
    <row r="21" spans="1:1" x14ac:dyDescent="0.35">
      <c r="A21" s="1" t="s">
        <v>17</v>
      </c>
    </row>
    <row r="22" spans="1:1" x14ac:dyDescent="0.35">
      <c r="A22" s="1" t="s">
        <v>18</v>
      </c>
    </row>
    <row r="23" spans="1:1" x14ac:dyDescent="0.35">
      <c r="A23" s="1" t="s">
        <v>19</v>
      </c>
    </row>
    <row r="24" spans="1:1" x14ac:dyDescent="0.35">
      <c r="A24" s="1" t="s">
        <v>20</v>
      </c>
    </row>
    <row r="25" spans="1:1" x14ac:dyDescent="0.35">
      <c r="A25" s="1"/>
    </row>
    <row r="26" spans="1:1" x14ac:dyDescent="0.35">
      <c r="A26" s="1" t="s">
        <v>21</v>
      </c>
    </row>
    <row r="27" spans="1:1" x14ac:dyDescent="0.35">
      <c r="A27" s="1" t="s">
        <v>22</v>
      </c>
    </row>
    <row r="28" spans="1:1" x14ac:dyDescent="0.35">
      <c r="A28" s="1" t="s">
        <v>23</v>
      </c>
    </row>
    <row r="29" spans="1:1" x14ac:dyDescent="0.35">
      <c r="A29" s="1" t="s">
        <v>24</v>
      </c>
    </row>
    <row r="30" spans="1:1" x14ac:dyDescent="0.35">
      <c r="A30" s="1" t="s">
        <v>25</v>
      </c>
    </row>
    <row r="31" spans="1:1" x14ac:dyDescent="0.35">
      <c r="A31" s="1"/>
    </row>
    <row r="32" spans="1:1" x14ac:dyDescent="0.35">
      <c r="A32" s="1" t="s">
        <v>26</v>
      </c>
    </row>
    <row r="33" spans="1:1" x14ac:dyDescent="0.35">
      <c r="A33" s="1" t="s">
        <v>27</v>
      </c>
    </row>
    <row r="34" spans="1:1" x14ac:dyDescent="0.35">
      <c r="A34" s="1" t="s">
        <v>28</v>
      </c>
    </row>
    <row r="35" spans="1:1" x14ac:dyDescent="0.35">
      <c r="A35" s="1" t="s">
        <v>29</v>
      </c>
    </row>
    <row r="36" spans="1:1" x14ac:dyDescent="0.35">
      <c r="A36" s="1" t="s">
        <v>30</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DE57E-37EF-40C4-BDED-B7BDAE715CE7}">
  <sheetPr codeName="Sheet2"/>
  <dimension ref="A1:M46"/>
  <sheetViews>
    <sheetView zoomScale="69" zoomScaleNormal="85" workbookViewId="0">
      <selection activeCell="G2" sqref="G2"/>
    </sheetView>
  </sheetViews>
  <sheetFormatPr defaultRowHeight="14.5" x14ac:dyDescent="0.35"/>
  <cols>
    <col min="1" max="1" width="10.36328125" customWidth="1"/>
    <col min="2" max="2" width="18.81640625" customWidth="1"/>
    <col min="4" max="4" width="14.6328125" bestFit="1" customWidth="1"/>
    <col min="5" max="5" width="19.26953125" bestFit="1" customWidth="1"/>
    <col min="7" max="7" width="11.54296875" customWidth="1"/>
    <col min="8" max="8" width="18.36328125" customWidth="1"/>
    <col min="10" max="10" width="11.26953125" customWidth="1"/>
    <col min="11" max="11" width="20.1796875" customWidth="1"/>
    <col min="12" max="12" width="2.6328125" customWidth="1"/>
  </cols>
  <sheetData>
    <row r="1" spans="1:13" x14ac:dyDescent="0.35">
      <c r="A1" s="16"/>
      <c r="B1" s="16"/>
      <c r="C1" s="16"/>
      <c r="D1" s="16"/>
      <c r="E1" s="16"/>
      <c r="F1" s="16"/>
      <c r="G1" s="16"/>
      <c r="H1" s="16"/>
      <c r="I1" s="16"/>
      <c r="J1" s="16"/>
      <c r="K1" s="16"/>
      <c r="L1" s="8"/>
      <c r="M1" s="7">
        <v>5</v>
      </c>
    </row>
    <row r="2" spans="1:13" x14ac:dyDescent="0.35">
      <c r="A2" s="16"/>
      <c r="B2" s="16"/>
      <c r="C2" s="16"/>
      <c r="D2" s="16"/>
      <c r="E2" s="16"/>
      <c r="F2" s="16"/>
      <c r="G2" s="16"/>
      <c r="H2" s="16"/>
      <c r="I2" s="16"/>
      <c r="J2" s="16"/>
      <c r="K2" s="16"/>
      <c r="L2" s="8"/>
    </row>
    <row r="3" spans="1:13" x14ac:dyDescent="0.35">
      <c r="A3" s="16"/>
      <c r="B3" s="16"/>
      <c r="C3" s="16"/>
      <c r="D3" s="16"/>
      <c r="E3" s="16"/>
      <c r="F3" s="16"/>
      <c r="G3" s="16"/>
      <c r="H3" s="16"/>
      <c r="I3" s="16"/>
      <c r="J3" s="16"/>
      <c r="K3" s="16"/>
      <c r="L3" s="8"/>
    </row>
    <row r="4" spans="1:13" x14ac:dyDescent="0.35">
      <c r="A4" s="16"/>
      <c r="B4" s="16"/>
      <c r="C4" s="16"/>
      <c r="D4" s="16"/>
      <c r="E4" s="16"/>
      <c r="F4" s="16"/>
      <c r="G4" s="16"/>
      <c r="H4" s="16"/>
      <c r="I4" s="16"/>
      <c r="J4" s="16"/>
      <c r="K4" s="16"/>
      <c r="L4" s="8"/>
    </row>
    <row r="5" spans="1:13" x14ac:dyDescent="0.35">
      <c r="A5" s="8"/>
      <c r="B5" s="8"/>
      <c r="C5" s="8"/>
      <c r="D5" s="8"/>
      <c r="E5" s="8"/>
      <c r="F5" s="8"/>
      <c r="G5" s="8"/>
      <c r="H5" s="8"/>
      <c r="I5" s="8"/>
      <c r="J5" s="8"/>
      <c r="K5" s="8"/>
      <c r="L5" s="8"/>
    </row>
    <row r="6" spans="1:13" x14ac:dyDescent="0.35">
      <c r="A6" s="8"/>
      <c r="B6" s="8"/>
      <c r="C6" s="8"/>
      <c r="D6" s="8"/>
      <c r="E6" s="8"/>
      <c r="F6" s="8"/>
      <c r="G6" s="8"/>
      <c r="H6" s="8"/>
      <c r="I6" s="8"/>
      <c r="J6" s="8"/>
      <c r="K6" s="8"/>
      <c r="L6" s="8"/>
    </row>
    <row r="7" spans="1:13" x14ac:dyDescent="0.35">
      <c r="A7" s="8"/>
      <c r="B7" s="8"/>
      <c r="C7" s="8"/>
      <c r="D7" s="8"/>
      <c r="E7" s="8"/>
      <c r="F7" s="8"/>
      <c r="G7" s="8"/>
      <c r="H7" s="8"/>
      <c r="I7" s="8"/>
      <c r="J7" s="8"/>
      <c r="K7" s="8"/>
      <c r="L7" s="8"/>
    </row>
    <row r="8" spans="1:13" x14ac:dyDescent="0.35">
      <c r="A8" s="8"/>
      <c r="B8" s="8"/>
      <c r="C8" s="8"/>
      <c r="D8" s="8"/>
      <c r="E8" s="8"/>
      <c r="F8" s="8"/>
      <c r="G8" s="8"/>
      <c r="H8" s="8"/>
      <c r="I8" s="8"/>
      <c r="J8" s="8"/>
      <c r="K8" s="8"/>
      <c r="L8" s="8"/>
    </row>
    <row r="9" spans="1:13" x14ac:dyDescent="0.35">
      <c r="A9" s="17" t="s">
        <v>2283</v>
      </c>
      <c r="B9" s="18"/>
      <c r="C9" s="8"/>
      <c r="D9" s="17" t="s">
        <v>2284</v>
      </c>
      <c r="E9" s="18"/>
      <c r="F9" s="8"/>
      <c r="G9" s="17" t="s">
        <v>2285</v>
      </c>
      <c r="H9" s="18"/>
      <c r="I9" s="8"/>
      <c r="J9" s="17" t="s">
        <v>2286</v>
      </c>
      <c r="K9" s="18"/>
      <c r="L9" s="8"/>
    </row>
    <row r="10" spans="1:13" x14ac:dyDescent="0.35">
      <c r="A10" s="9" t="s">
        <v>2277</v>
      </c>
      <c r="B10" s="10" t="s">
        <v>2279</v>
      </c>
      <c r="C10" s="8"/>
      <c r="D10" s="9" t="s">
        <v>2277</v>
      </c>
      <c r="E10" s="10" t="s">
        <v>2279</v>
      </c>
      <c r="F10" s="8"/>
      <c r="G10" s="15" t="s">
        <v>2277</v>
      </c>
      <c r="H10" s="12" t="s">
        <v>2279</v>
      </c>
      <c r="I10" s="8"/>
      <c r="J10" s="15" t="s">
        <v>2277</v>
      </c>
      <c r="K10" s="12" t="s">
        <v>2279</v>
      </c>
      <c r="L10" s="8"/>
    </row>
    <row r="11" spans="1:13" x14ac:dyDescent="0.35">
      <c r="A11" s="11" t="s">
        <v>2280</v>
      </c>
      <c r="B11" s="19">
        <v>5421781</v>
      </c>
      <c r="C11" s="8"/>
      <c r="D11" s="11" t="s">
        <v>46</v>
      </c>
      <c r="E11" s="19">
        <v>16593807</v>
      </c>
      <c r="F11" s="8"/>
      <c r="G11" s="11" t="s">
        <v>83</v>
      </c>
      <c r="H11" s="19">
        <v>14474191</v>
      </c>
      <c r="I11" s="8"/>
      <c r="J11" s="11" t="s">
        <v>76</v>
      </c>
      <c r="K11" s="19">
        <v>7471625</v>
      </c>
      <c r="L11" s="8"/>
    </row>
    <row r="12" spans="1:13" x14ac:dyDescent="0.35">
      <c r="A12" s="13" t="s">
        <v>2281</v>
      </c>
      <c r="B12" s="20">
        <v>5637865</v>
      </c>
      <c r="C12" s="8"/>
      <c r="D12" s="13" t="s">
        <v>63</v>
      </c>
      <c r="E12" s="20">
        <v>14859388</v>
      </c>
      <c r="F12" s="8"/>
      <c r="G12" s="13" t="s">
        <v>51</v>
      </c>
      <c r="H12" s="20">
        <v>25729735</v>
      </c>
      <c r="I12" s="8"/>
      <c r="J12" s="13" t="s">
        <v>59</v>
      </c>
      <c r="K12" s="20">
        <v>6981920</v>
      </c>
      <c r="L12" s="8"/>
    </row>
    <row r="13" spans="1:13" x14ac:dyDescent="0.35">
      <c r="A13" s="13" t="s">
        <v>2287</v>
      </c>
      <c r="B13" s="20">
        <v>5791895</v>
      </c>
      <c r="C13" s="8"/>
      <c r="D13" s="13" t="s">
        <v>111</v>
      </c>
      <c r="E13" s="20">
        <v>13257771</v>
      </c>
      <c r="F13" s="8"/>
      <c r="G13" s="13" t="s">
        <v>77</v>
      </c>
      <c r="H13" s="20">
        <v>7471625</v>
      </c>
      <c r="I13" s="8"/>
      <c r="J13" s="13" t="s">
        <v>82</v>
      </c>
      <c r="K13" s="20">
        <v>7704766</v>
      </c>
      <c r="L13" s="8"/>
    </row>
    <row r="14" spans="1:13" x14ac:dyDescent="0.35">
      <c r="A14" s="13" t="s">
        <v>2288</v>
      </c>
      <c r="B14" s="20">
        <v>5396820</v>
      </c>
      <c r="C14" s="8"/>
      <c r="D14" s="13" t="s">
        <v>55</v>
      </c>
      <c r="E14" s="20">
        <v>16009177</v>
      </c>
      <c r="F14" s="8"/>
      <c r="G14" s="13" t="s">
        <v>88</v>
      </c>
      <c r="H14" s="20">
        <v>6246185</v>
      </c>
      <c r="I14" s="8"/>
      <c r="J14" s="13" t="s">
        <v>156</v>
      </c>
      <c r="K14" s="20">
        <v>6798407</v>
      </c>
      <c r="L14" s="8"/>
    </row>
    <row r="15" spans="1:13" x14ac:dyDescent="0.35">
      <c r="A15" s="13" t="s">
        <v>2282</v>
      </c>
      <c r="B15" s="20">
        <v>5407494</v>
      </c>
      <c r="C15" s="8"/>
      <c r="D15" s="14" t="s">
        <v>2278</v>
      </c>
      <c r="E15" s="21">
        <v>60720143</v>
      </c>
      <c r="F15" s="8"/>
      <c r="G15" s="13" t="s">
        <v>157</v>
      </c>
      <c r="H15" s="20">
        <v>6798407</v>
      </c>
      <c r="I15" s="8"/>
      <c r="J15" s="13" t="s">
        <v>50</v>
      </c>
      <c r="K15" s="20">
        <v>7393131</v>
      </c>
      <c r="L15" s="8"/>
    </row>
    <row r="16" spans="1:13" x14ac:dyDescent="0.35">
      <c r="A16" s="14" t="s">
        <v>2278</v>
      </c>
      <c r="B16" s="21">
        <v>27655855</v>
      </c>
      <c r="C16" s="8"/>
      <c r="D16" s="8"/>
      <c r="E16" s="8"/>
      <c r="F16" s="8"/>
      <c r="G16" s="14" t="s">
        <v>2278</v>
      </c>
      <c r="H16" s="21">
        <v>60720143</v>
      </c>
      <c r="I16" s="8"/>
      <c r="J16" s="14" t="s">
        <v>2278</v>
      </c>
      <c r="K16" s="21">
        <v>36349849</v>
      </c>
      <c r="L16" s="8"/>
    </row>
    <row r="17" spans="1:12" x14ac:dyDescent="0.35">
      <c r="C17" s="8"/>
      <c r="D17" s="8"/>
      <c r="E17" s="8"/>
      <c r="F17" s="8"/>
      <c r="G17" s="8"/>
      <c r="H17" s="8"/>
      <c r="I17" s="8"/>
      <c r="L17" s="8"/>
    </row>
    <row r="18" spans="1:12" x14ac:dyDescent="0.35">
      <c r="C18" s="8"/>
      <c r="D18" s="8"/>
      <c r="E18" s="8"/>
      <c r="F18" s="8"/>
      <c r="G18" s="8"/>
      <c r="H18" s="8"/>
      <c r="I18" s="8"/>
      <c r="L18" s="8"/>
    </row>
    <row r="19" spans="1:12" x14ac:dyDescent="0.35">
      <c r="C19" s="8"/>
      <c r="D19" s="8"/>
      <c r="E19" s="8"/>
      <c r="F19" s="8"/>
      <c r="G19" s="8"/>
      <c r="H19" s="8"/>
      <c r="I19" s="8"/>
      <c r="L19" s="8"/>
    </row>
    <row r="20" spans="1:12" x14ac:dyDescent="0.35">
      <c r="C20" s="8"/>
      <c r="D20" s="8"/>
      <c r="E20" s="8"/>
      <c r="F20" s="8"/>
      <c r="G20" s="8"/>
      <c r="H20" s="8"/>
      <c r="I20" s="8"/>
      <c r="L20" s="8"/>
    </row>
    <row r="21" spans="1:12" x14ac:dyDescent="0.35">
      <c r="C21" s="8"/>
      <c r="D21" s="8"/>
      <c r="E21" s="8"/>
      <c r="F21" s="8"/>
      <c r="G21" s="8"/>
      <c r="H21" s="8"/>
      <c r="I21" s="8"/>
      <c r="J21" s="8"/>
      <c r="K21" s="8"/>
      <c r="L21" s="8"/>
    </row>
    <row r="22" spans="1:12" x14ac:dyDescent="0.35">
      <c r="C22" s="8"/>
      <c r="D22" s="8"/>
      <c r="E22" s="8"/>
      <c r="F22" s="8"/>
      <c r="G22" s="8"/>
      <c r="H22" s="8"/>
      <c r="I22" s="8"/>
      <c r="J22" s="8"/>
      <c r="K22" s="8"/>
      <c r="L22" s="8"/>
    </row>
    <row r="23" spans="1:12" x14ac:dyDescent="0.35">
      <c r="C23" s="8"/>
      <c r="D23" s="8"/>
      <c r="E23" s="8"/>
      <c r="F23" s="8"/>
      <c r="G23" s="8"/>
      <c r="H23" s="8"/>
      <c r="I23" s="8"/>
      <c r="J23" s="8"/>
      <c r="K23" s="8"/>
      <c r="L23" s="8"/>
    </row>
    <row r="24" spans="1:12" x14ac:dyDescent="0.35">
      <c r="A24" s="8"/>
      <c r="B24" s="8"/>
      <c r="C24" s="8"/>
      <c r="D24" s="8"/>
      <c r="E24" s="8"/>
      <c r="F24" s="8"/>
      <c r="G24" s="8"/>
      <c r="H24" s="8"/>
      <c r="I24" s="8"/>
      <c r="J24" s="8"/>
      <c r="K24" s="8"/>
      <c r="L24" s="8"/>
    </row>
    <row r="25" spans="1:12" x14ac:dyDescent="0.35">
      <c r="A25" s="8"/>
      <c r="B25" s="8"/>
      <c r="C25" s="8"/>
      <c r="D25" s="8"/>
      <c r="E25" s="8"/>
      <c r="F25" s="8"/>
      <c r="G25" s="8"/>
      <c r="H25" s="8"/>
      <c r="I25" s="8"/>
      <c r="J25" s="8"/>
      <c r="K25" s="8"/>
      <c r="L25" s="8"/>
    </row>
    <row r="26" spans="1:12" x14ac:dyDescent="0.35">
      <c r="A26" s="8"/>
      <c r="B26" s="8"/>
      <c r="C26" s="8"/>
      <c r="D26" s="8"/>
      <c r="E26" s="8"/>
      <c r="F26" s="8"/>
      <c r="G26" s="8"/>
      <c r="H26" s="8"/>
      <c r="I26" s="8"/>
      <c r="J26" s="8"/>
      <c r="K26" s="8"/>
      <c r="L26" s="8"/>
    </row>
    <row r="27" spans="1:12" x14ac:dyDescent="0.35">
      <c r="A27" s="8"/>
      <c r="B27" s="8"/>
      <c r="C27" s="8"/>
      <c r="D27" s="8"/>
      <c r="E27" s="8"/>
      <c r="F27" s="8"/>
      <c r="G27" s="8"/>
      <c r="H27" s="8"/>
      <c r="I27" s="8"/>
      <c r="J27" s="8"/>
      <c r="K27" s="8"/>
      <c r="L27" s="8"/>
    </row>
    <row r="28" spans="1:12" x14ac:dyDescent="0.35">
      <c r="A28" s="8"/>
      <c r="B28" s="8"/>
      <c r="C28" s="8"/>
      <c r="D28" s="8"/>
      <c r="E28" s="8"/>
      <c r="F28" s="8"/>
      <c r="G28" s="8"/>
      <c r="H28" s="8"/>
      <c r="I28" s="8"/>
      <c r="J28" s="8"/>
      <c r="K28" s="8"/>
      <c r="L28" s="8"/>
    </row>
    <row r="29" spans="1:12" x14ac:dyDescent="0.35">
      <c r="A29" s="8"/>
      <c r="B29" s="8"/>
      <c r="C29" s="8"/>
      <c r="D29" s="8"/>
      <c r="E29" s="8"/>
      <c r="F29" s="8"/>
      <c r="G29" s="8"/>
      <c r="H29" s="8"/>
      <c r="I29" s="8"/>
      <c r="J29" s="8"/>
      <c r="K29" s="8"/>
      <c r="L29" s="8"/>
    </row>
    <row r="30" spans="1:12" x14ac:dyDescent="0.35">
      <c r="A30" s="8"/>
      <c r="B30" s="8"/>
      <c r="C30" s="8"/>
      <c r="D30" s="8"/>
      <c r="E30" s="8"/>
      <c r="F30" s="8"/>
      <c r="G30" s="8"/>
      <c r="H30" s="8"/>
      <c r="I30" s="8"/>
      <c r="J30" s="8"/>
      <c r="K30" s="8"/>
      <c r="L30" s="8"/>
    </row>
    <row r="31" spans="1:12" x14ac:dyDescent="0.35">
      <c r="A31" s="8"/>
      <c r="B31" s="8"/>
      <c r="C31" s="8"/>
      <c r="D31" s="8"/>
      <c r="E31" s="8"/>
      <c r="F31" s="8"/>
      <c r="G31" s="8"/>
      <c r="H31" s="8"/>
      <c r="I31" s="8"/>
      <c r="J31" s="8"/>
      <c r="K31" s="8"/>
      <c r="L31" s="8"/>
    </row>
    <row r="32" spans="1:12" x14ac:dyDescent="0.35">
      <c r="A32" s="8"/>
      <c r="B32" s="8"/>
      <c r="C32" s="8"/>
      <c r="D32" s="8"/>
      <c r="E32" s="8"/>
      <c r="F32" s="8"/>
      <c r="G32" s="8"/>
      <c r="H32" s="8"/>
      <c r="I32" s="8"/>
      <c r="J32" s="8"/>
      <c r="K32" s="8"/>
      <c r="L32" s="8"/>
    </row>
    <row r="33" spans="1:12" x14ac:dyDescent="0.35">
      <c r="A33" s="8"/>
      <c r="B33" s="8"/>
      <c r="C33" s="8"/>
      <c r="D33" s="8"/>
      <c r="E33" s="8"/>
      <c r="F33" s="8"/>
      <c r="G33" s="8"/>
      <c r="H33" s="8"/>
      <c r="I33" s="8"/>
      <c r="J33" s="8"/>
      <c r="K33" s="8"/>
      <c r="L33" s="8"/>
    </row>
    <row r="34" spans="1:12" x14ac:dyDescent="0.35">
      <c r="A34" s="8"/>
      <c r="B34" s="8"/>
      <c r="C34" s="8"/>
      <c r="D34" s="8"/>
      <c r="E34" s="8"/>
      <c r="F34" s="8"/>
      <c r="G34" s="8"/>
      <c r="H34" s="8"/>
      <c r="I34" s="8"/>
      <c r="J34" s="8"/>
      <c r="K34" s="8"/>
      <c r="L34" s="8"/>
    </row>
    <row r="35" spans="1:12" x14ac:dyDescent="0.35">
      <c r="A35" s="8"/>
      <c r="B35" s="8"/>
      <c r="C35" s="8"/>
      <c r="D35" s="8"/>
      <c r="E35" s="8"/>
      <c r="F35" s="8"/>
      <c r="G35" s="8"/>
      <c r="H35" s="8"/>
      <c r="I35" s="8"/>
      <c r="J35" s="8"/>
      <c r="K35" s="8"/>
      <c r="L35" s="8"/>
    </row>
    <row r="36" spans="1:12" x14ac:dyDescent="0.35">
      <c r="A36" s="8"/>
      <c r="B36" s="8"/>
      <c r="C36" s="8"/>
      <c r="D36" s="8"/>
      <c r="E36" s="8"/>
      <c r="F36" s="8"/>
      <c r="G36" s="8"/>
      <c r="H36" s="8"/>
      <c r="I36" s="8"/>
      <c r="J36" s="8"/>
      <c r="K36" s="8"/>
      <c r="L36" s="8"/>
    </row>
    <row r="37" spans="1:12" x14ac:dyDescent="0.35">
      <c r="A37" s="8"/>
      <c r="B37" s="8"/>
      <c r="C37" s="8"/>
      <c r="D37" s="8"/>
      <c r="E37" s="8"/>
      <c r="F37" s="8"/>
      <c r="G37" s="8"/>
      <c r="H37" s="8"/>
      <c r="I37" s="8"/>
      <c r="J37" s="8"/>
      <c r="K37" s="8"/>
      <c r="L37" s="8"/>
    </row>
    <row r="38" spans="1:12" x14ac:dyDescent="0.35">
      <c r="A38" s="8"/>
      <c r="B38" s="8"/>
      <c r="C38" s="8"/>
      <c r="D38" s="8"/>
      <c r="E38" s="8"/>
      <c r="F38" s="8"/>
      <c r="G38" s="8"/>
      <c r="H38" s="8"/>
      <c r="I38" s="8"/>
      <c r="J38" s="8"/>
      <c r="K38" s="8"/>
      <c r="L38" s="8"/>
    </row>
    <row r="39" spans="1:12" x14ac:dyDescent="0.35">
      <c r="A39" s="8"/>
      <c r="B39" s="8"/>
      <c r="C39" s="8"/>
      <c r="D39" s="8"/>
      <c r="E39" s="8"/>
      <c r="F39" s="8"/>
      <c r="G39" s="8"/>
      <c r="H39" s="8"/>
      <c r="I39" s="8"/>
      <c r="J39" s="8"/>
      <c r="K39" s="8"/>
      <c r="L39" s="8"/>
    </row>
    <row r="40" spans="1:12" x14ac:dyDescent="0.35">
      <c r="A40" s="8"/>
      <c r="B40" s="8"/>
      <c r="C40" s="8"/>
      <c r="D40" s="8"/>
      <c r="E40" s="8"/>
      <c r="F40" s="8"/>
      <c r="G40" s="8"/>
      <c r="H40" s="8"/>
      <c r="I40" s="8"/>
      <c r="J40" s="8"/>
      <c r="K40" s="8"/>
      <c r="L40" s="8"/>
    </row>
    <row r="41" spans="1:12" x14ac:dyDescent="0.35">
      <c r="A41" s="8"/>
      <c r="B41" s="8"/>
      <c r="C41" s="8"/>
      <c r="D41" s="8"/>
      <c r="E41" s="8"/>
      <c r="F41" s="8"/>
      <c r="G41" s="8"/>
      <c r="H41" s="8"/>
      <c r="I41" s="8"/>
      <c r="J41" s="8"/>
      <c r="K41" s="8"/>
      <c r="L41" s="8"/>
    </row>
    <row r="42" spans="1:12" x14ac:dyDescent="0.35">
      <c r="A42" s="8"/>
      <c r="B42" s="8"/>
      <c r="C42" s="8"/>
      <c r="D42" s="8"/>
      <c r="E42" s="8"/>
      <c r="F42" s="8"/>
      <c r="G42" s="8"/>
      <c r="H42" s="8"/>
      <c r="I42" s="8"/>
      <c r="J42" s="8"/>
      <c r="K42" s="8"/>
      <c r="L42" s="8"/>
    </row>
    <row r="43" spans="1:12" x14ac:dyDescent="0.35">
      <c r="A43" s="8"/>
      <c r="B43" s="8"/>
      <c r="C43" s="8"/>
      <c r="D43" s="8"/>
      <c r="E43" s="8"/>
      <c r="F43" s="8"/>
      <c r="G43" s="8"/>
      <c r="H43" s="8"/>
      <c r="I43" s="8"/>
      <c r="J43" s="8"/>
      <c r="K43" s="8"/>
      <c r="L43" s="8"/>
    </row>
    <row r="44" spans="1:12" x14ac:dyDescent="0.35">
      <c r="A44" s="8"/>
      <c r="B44" s="8"/>
      <c r="C44" s="8"/>
      <c r="D44" s="8"/>
      <c r="E44" s="8"/>
      <c r="F44" s="8"/>
      <c r="G44" s="8"/>
      <c r="H44" s="8"/>
      <c r="I44" s="8"/>
      <c r="J44" s="8"/>
      <c r="K44" s="8"/>
      <c r="L44" s="8"/>
    </row>
    <row r="45" spans="1:12" x14ac:dyDescent="0.35">
      <c r="A45" s="8"/>
      <c r="B45" s="8"/>
      <c r="C45" s="8"/>
      <c r="D45" s="8"/>
      <c r="E45" s="8"/>
      <c r="F45" s="8"/>
      <c r="G45" s="8"/>
      <c r="H45" s="8"/>
      <c r="I45" s="8"/>
      <c r="J45" s="8"/>
      <c r="K45" s="8"/>
      <c r="L45" s="8"/>
    </row>
    <row r="46" spans="1:12" x14ac:dyDescent="0.35">
      <c r="A46" s="8"/>
      <c r="B46" s="8"/>
      <c r="C46" s="8"/>
      <c r="D46" s="8"/>
      <c r="E46" s="8"/>
      <c r="F46" s="8"/>
      <c r="G46" s="8"/>
      <c r="H46" s="8"/>
      <c r="I46" s="8"/>
      <c r="J46" s="8"/>
      <c r="K46" s="8"/>
      <c r="L46" s="8"/>
    </row>
  </sheetData>
  <sheetProtection selectLockedCells="1" selectUnlockedCells="1"/>
  <mergeCells count="4">
    <mergeCell ref="A9:B9"/>
    <mergeCell ref="D9:E9"/>
    <mergeCell ref="G9:H9"/>
    <mergeCell ref="J9:K9"/>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Spinner 1">
              <controlPr defaultSize="0" autoPict="0" macro="[0]!Macro1">
                <anchor moveWithCells="1" sizeWithCells="1">
                  <from>
                    <xdr:col>7</xdr:col>
                    <xdr:colOff>1003300</xdr:colOff>
                    <xdr:row>0</xdr:row>
                    <xdr:rowOff>76200</xdr:rowOff>
                  </from>
                  <to>
                    <xdr:col>8</xdr:col>
                    <xdr:colOff>152400</xdr:colOff>
                    <xdr:row>3</xdr:row>
                    <xdr:rowOff>69850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960"/>
  <sheetViews>
    <sheetView tabSelected="1" zoomScale="70" zoomScaleNormal="263" workbookViewId="0">
      <selection activeCell="H11" sqref="H11"/>
    </sheetView>
  </sheetViews>
  <sheetFormatPr defaultRowHeight="14.5" x14ac:dyDescent="0.35"/>
  <cols>
    <col min="1" max="1" width="10.81640625" bestFit="1" customWidth="1"/>
    <col min="2" max="2" width="13" bestFit="1" customWidth="1"/>
    <col min="3" max="3" width="8.81640625" bestFit="1" customWidth="1"/>
    <col min="4" max="4" width="6.81640625" bestFit="1" customWidth="1"/>
    <col min="5" max="5" width="8.7265625" bestFit="1" customWidth="1"/>
    <col min="6" max="6" width="12.26953125" bestFit="1" customWidth="1"/>
    <col min="7" max="7" width="13.08984375" bestFit="1" customWidth="1"/>
    <col min="8" max="8" width="17.26953125" bestFit="1" customWidth="1"/>
    <col min="9" max="9" width="9.7265625" bestFit="1" customWidth="1"/>
    <col min="10" max="10" width="10.54296875" bestFit="1" customWidth="1"/>
    <col min="11" max="11" width="12" bestFit="1" customWidth="1"/>
    <col min="12" max="12" width="15.1796875" bestFit="1" customWidth="1"/>
    <col min="13" max="13" width="14.6328125" bestFit="1" customWidth="1"/>
    <col min="14" max="14" width="7.81640625" bestFit="1" customWidth="1"/>
    <col min="15" max="15" width="12.453125" style="5" bestFit="1" customWidth="1"/>
    <col min="16" max="16" width="16.54296875" bestFit="1" customWidth="1"/>
  </cols>
  <sheetData>
    <row r="1" spans="1:16" x14ac:dyDescent="0.35">
      <c r="A1" s="2" t="s">
        <v>31</v>
      </c>
      <c r="B1" s="2" t="s">
        <v>32</v>
      </c>
      <c r="C1" s="3" t="s">
        <v>2274</v>
      </c>
      <c r="D1" s="3" t="s">
        <v>2275</v>
      </c>
      <c r="E1" s="2" t="s">
        <v>33</v>
      </c>
      <c r="F1" s="2" t="s">
        <v>34</v>
      </c>
      <c r="G1" s="2" t="s">
        <v>35</v>
      </c>
      <c r="H1" s="2" t="s">
        <v>36</v>
      </c>
      <c r="I1" s="2" t="s">
        <v>37</v>
      </c>
      <c r="J1" s="2" t="s">
        <v>38</v>
      </c>
      <c r="K1" s="2" t="s">
        <v>39</v>
      </c>
      <c r="L1" s="2" t="s">
        <v>40</v>
      </c>
      <c r="M1" s="2" t="s">
        <v>41</v>
      </c>
      <c r="N1" s="2" t="s">
        <v>42</v>
      </c>
      <c r="O1" s="4" t="s">
        <v>2276</v>
      </c>
      <c r="P1" s="2" t="s">
        <v>43</v>
      </c>
    </row>
    <row r="2" spans="1:16" x14ac:dyDescent="0.35">
      <c r="A2" t="s">
        <v>44</v>
      </c>
      <c r="B2" t="s">
        <v>45</v>
      </c>
      <c r="C2" t="str">
        <f>TEXT(Table1[[#This Row],[Order_Date]],"mmm")</f>
        <v>Jul</v>
      </c>
      <c r="D2">
        <f>YEAR(Table1[[#This Row],[Order_Date]])</f>
        <v>2025</v>
      </c>
      <c r="E2" t="s">
        <v>46</v>
      </c>
      <c r="F2" t="s">
        <v>47</v>
      </c>
      <c r="G2" t="s">
        <v>48</v>
      </c>
      <c r="H2" t="s">
        <v>49</v>
      </c>
      <c r="I2" t="s">
        <v>50</v>
      </c>
      <c r="J2" t="s">
        <v>51</v>
      </c>
      <c r="K2">
        <v>18</v>
      </c>
      <c r="L2">
        <v>86384</v>
      </c>
      <c r="M2">
        <v>63380</v>
      </c>
      <c r="N2">
        <v>23004</v>
      </c>
      <c r="O2" s="6">
        <f>Table1[[#This Row],[Profit]]/Table1[[#This Row],[Sales_Amount]]</f>
        <v>0.26629931468790519</v>
      </c>
      <c r="P2" t="s">
        <v>52</v>
      </c>
    </row>
    <row r="3" spans="1:16" x14ac:dyDescent="0.35">
      <c r="A3" t="s">
        <v>53</v>
      </c>
      <c r="B3" t="s">
        <v>54</v>
      </c>
      <c r="C3" t="str">
        <f>TEXT(Table1[[#This Row],[Order_Date]],"mmm")</f>
        <v>Dec</v>
      </c>
      <c r="D3">
        <f>YEAR(Table1[[#This Row],[Order_Date]])</f>
        <v>2025</v>
      </c>
      <c r="E3" t="s">
        <v>55</v>
      </c>
      <c r="F3" t="s">
        <v>56</v>
      </c>
      <c r="G3" t="s">
        <v>57</v>
      </c>
      <c r="H3" t="s">
        <v>58</v>
      </c>
      <c r="I3" t="s">
        <v>59</v>
      </c>
      <c r="J3" t="s">
        <v>51</v>
      </c>
      <c r="K3">
        <v>20</v>
      </c>
      <c r="L3">
        <v>41990</v>
      </c>
      <c r="M3">
        <v>20198</v>
      </c>
      <c r="N3">
        <v>21792</v>
      </c>
      <c r="O3" s="6">
        <f>Table1[[#This Row],[Profit]]/Table1[[#This Row],[Sales_Amount]]</f>
        <v>0.51898070969278398</v>
      </c>
      <c r="P3" t="s">
        <v>60</v>
      </c>
    </row>
    <row r="4" spans="1:16" x14ac:dyDescent="0.35">
      <c r="A4" t="s">
        <v>61</v>
      </c>
      <c r="B4" t="s">
        <v>62</v>
      </c>
      <c r="C4" t="str">
        <f>TEXT(Table1[[#This Row],[Order_Date]],"mmm")</f>
        <v>Mar</v>
      </c>
      <c r="D4">
        <f>YEAR(Table1[[#This Row],[Order_Date]])</f>
        <v>2025</v>
      </c>
      <c r="E4" t="s">
        <v>63</v>
      </c>
      <c r="F4" t="s">
        <v>64</v>
      </c>
      <c r="G4" t="s">
        <v>65</v>
      </c>
      <c r="H4" t="s">
        <v>66</v>
      </c>
      <c r="I4" t="s">
        <v>67</v>
      </c>
      <c r="J4" t="s">
        <v>51</v>
      </c>
      <c r="K4">
        <v>23</v>
      </c>
      <c r="L4">
        <v>92549</v>
      </c>
      <c r="M4">
        <v>75570</v>
      </c>
      <c r="N4">
        <v>16979</v>
      </c>
      <c r="O4" s="6">
        <f>Table1[[#This Row],[Profit]]/Table1[[#This Row],[Sales_Amount]]</f>
        <v>0.18345957276685865</v>
      </c>
      <c r="P4" t="s">
        <v>52</v>
      </c>
    </row>
    <row r="5" spans="1:16" x14ac:dyDescent="0.35">
      <c r="A5" t="s">
        <v>68</v>
      </c>
      <c r="B5" t="s">
        <v>69</v>
      </c>
      <c r="C5" t="str">
        <f>TEXT(Table1[[#This Row],[Order_Date]],"mmm")</f>
        <v>Feb</v>
      </c>
      <c r="D5">
        <f>YEAR(Table1[[#This Row],[Order_Date]])</f>
        <v>2025</v>
      </c>
      <c r="E5" t="s">
        <v>55</v>
      </c>
      <c r="F5" t="s">
        <v>56</v>
      </c>
      <c r="G5" t="s">
        <v>70</v>
      </c>
      <c r="H5" t="s">
        <v>71</v>
      </c>
      <c r="I5" t="s">
        <v>50</v>
      </c>
      <c r="J5" t="s">
        <v>51</v>
      </c>
      <c r="K5">
        <v>21</v>
      </c>
      <c r="L5">
        <v>78579</v>
      </c>
      <c r="M5">
        <v>52104</v>
      </c>
      <c r="N5">
        <v>26475</v>
      </c>
      <c r="O5" s="6">
        <f>Table1[[#This Row],[Profit]]/Table1[[#This Row],[Sales_Amount]]</f>
        <v>0.3369220784178979</v>
      </c>
      <c r="P5" t="s">
        <v>52</v>
      </c>
    </row>
    <row r="6" spans="1:16" x14ac:dyDescent="0.35">
      <c r="A6" t="s">
        <v>72</v>
      </c>
      <c r="B6" t="s">
        <v>73</v>
      </c>
      <c r="C6" t="str">
        <f>TEXT(Table1[[#This Row],[Order_Date]],"mmm")</f>
        <v>Feb</v>
      </c>
      <c r="D6">
        <f>YEAR(Table1[[#This Row],[Order_Date]])</f>
        <v>2025</v>
      </c>
      <c r="E6" t="s">
        <v>46</v>
      </c>
      <c r="F6" t="s">
        <v>74</v>
      </c>
      <c r="G6" t="s">
        <v>70</v>
      </c>
      <c r="H6" t="s">
        <v>75</v>
      </c>
      <c r="I6" t="s">
        <v>76</v>
      </c>
      <c r="J6" t="s">
        <v>77</v>
      </c>
      <c r="K6">
        <v>5</v>
      </c>
      <c r="L6">
        <v>84740</v>
      </c>
      <c r="M6">
        <v>61171</v>
      </c>
      <c r="N6">
        <v>23569</v>
      </c>
      <c r="O6" s="6">
        <f>Table1[[#This Row],[Profit]]/Table1[[#This Row],[Sales_Amount]]</f>
        <v>0.27813311305168753</v>
      </c>
      <c r="P6" t="s">
        <v>60</v>
      </c>
    </row>
    <row r="7" spans="1:16" x14ac:dyDescent="0.35">
      <c r="A7" t="s">
        <v>78</v>
      </c>
      <c r="B7" t="s">
        <v>79</v>
      </c>
      <c r="C7" t="str">
        <f>TEXT(Table1[[#This Row],[Order_Date]],"mmm")</f>
        <v>May</v>
      </c>
      <c r="D7">
        <f>YEAR(Table1[[#This Row],[Order_Date]])</f>
        <v>2025</v>
      </c>
      <c r="E7" t="s">
        <v>46</v>
      </c>
      <c r="F7" t="s">
        <v>74</v>
      </c>
      <c r="G7" t="s">
        <v>80</v>
      </c>
      <c r="H7" t="s">
        <v>81</v>
      </c>
      <c r="I7" t="s">
        <v>82</v>
      </c>
      <c r="J7" t="s">
        <v>83</v>
      </c>
      <c r="K7">
        <v>16</v>
      </c>
      <c r="L7">
        <v>116539</v>
      </c>
      <c r="M7">
        <v>75378</v>
      </c>
      <c r="N7">
        <v>41161</v>
      </c>
      <c r="O7" s="6">
        <f>Table1[[#This Row],[Profit]]/Table1[[#This Row],[Sales_Amount]]</f>
        <v>0.35319506774556159</v>
      </c>
      <c r="P7" t="s">
        <v>52</v>
      </c>
    </row>
    <row r="8" spans="1:16" x14ac:dyDescent="0.35">
      <c r="A8" t="s">
        <v>84</v>
      </c>
      <c r="B8" t="s">
        <v>85</v>
      </c>
      <c r="C8" t="str">
        <f>TEXT(Table1[[#This Row],[Order_Date]],"mmm")</f>
        <v>Feb</v>
      </c>
      <c r="D8">
        <f>YEAR(Table1[[#This Row],[Order_Date]])</f>
        <v>2025</v>
      </c>
      <c r="E8" t="s">
        <v>63</v>
      </c>
      <c r="F8" t="s">
        <v>64</v>
      </c>
      <c r="G8" t="s">
        <v>80</v>
      </c>
      <c r="H8" t="s">
        <v>86</v>
      </c>
      <c r="I8" t="s">
        <v>87</v>
      </c>
      <c r="J8" t="s">
        <v>88</v>
      </c>
      <c r="K8">
        <v>1</v>
      </c>
      <c r="L8">
        <v>116342</v>
      </c>
      <c r="M8">
        <v>73152</v>
      </c>
      <c r="N8">
        <v>43190</v>
      </c>
      <c r="O8" s="6">
        <f>Table1[[#This Row],[Profit]]/Table1[[#This Row],[Sales_Amount]]</f>
        <v>0.37123308865242133</v>
      </c>
      <c r="P8" t="s">
        <v>52</v>
      </c>
    </row>
    <row r="9" spans="1:16" x14ac:dyDescent="0.35">
      <c r="A9" t="s">
        <v>89</v>
      </c>
      <c r="B9" t="s">
        <v>90</v>
      </c>
      <c r="C9" t="str">
        <f>TEXT(Table1[[#This Row],[Order_Date]],"mmm")</f>
        <v>Dec</v>
      </c>
      <c r="D9">
        <f>YEAR(Table1[[#This Row],[Order_Date]])</f>
        <v>2025</v>
      </c>
      <c r="E9" t="s">
        <v>46</v>
      </c>
      <c r="F9" t="s">
        <v>74</v>
      </c>
      <c r="G9" t="s">
        <v>57</v>
      </c>
      <c r="H9" t="s">
        <v>91</v>
      </c>
      <c r="I9" t="s">
        <v>67</v>
      </c>
      <c r="J9" t="s">
        <v>51</v>
      </c>
      <c r="K9">
        <v>17</v>
      </c>
      <c r="L9">
        <v>100622</v>
      </c>
      <c r="M9">
        <v>68356</v>
      </c>
      <c r="N9">
        <v>32266</v>
      </c>
      <c r="O9" s="6">
        <f>Table1[[#This Row],[Profit]]/Table1[[#This Row],[Sales_Amount]]</f>
        <v>0.32066546083361491</v>
      </c>
      <c r="P9" t="s">
        <v>60</v>
      </c>
    </row>
    <row r="10" spans="1:16" x14ac:dyDescent="0.35">
      <c r="A10" t="s">
        <v>92</v>
      </c>
      <c r="B10" t="s">
        <v>93</v>
      </c>
      <c r="C10" t="str">
        <f>TEXT(Table1[[#This Row],[Order_Date]],"mmm")</f>
        <v>Mar</v>
      </c>
      <c r="D10">
        <f>YEAR(Table1[[#This Row],[Order_Date]])</f>
        <v>2025</v>
      </c>
      <c r="E10" t="s">
        <v>46</v>
      </c>
      <c r="F10" t="s">
        <v>47</v>
      </c>
      <c r="G10" t="s">
        <v>70</v>
      </c>
      <c r="H10" t="s">
        <v>94</v>
      </c>
      <c r="I10" t="s">
        <v>82</v>
      </c>
      <c r="J10" t="s">
        <v>83</v>
      </c>
      <c r="K10">
        <v>11</v>
      </c>
      <c r="L10">
        <v>19004</v>
      </c>
      <c r="M10">
        <v>10806</v>
      </c>
      <c r="N10">
        <v>8198</v>
      </c>
      <c r="O10" s="6">
        <f>Table1[[#This Row],[Profit]]/Table1[[#This Row],[Sales_Amount]]</f>
        <v>0.43138286676489163</v>
      </c>
      <c r="P10" t="s">
        <v>52</v>
      </c>
    </row>
    <row r="11" spans="1:16" x14ac:dyDescent="0.35">
      <c r="A11" t="s">
        <v>95</v>
      </c>
      <c r="B11" t="s">
        <v>96</v>
      </c>
      <c r="C11" t="str">
        <f>TEXT(Table1[[#This Row],[Order_Date]],"mmm")</f>
        <v>Mar</v>
      </c>
      <c r="D11">
        <f>YEAR(Table1[[#This Row],[Order_Date]])</f>
        <v>2025</v>
      </c>
      <c r="E11" t="s">
        <v>46</v>
      </c>
      <c r="F11" t="s">
        <v>47</v>
      </c>
      <c r="G11" t="s">
        <v>48</v>
      </c>
      <c r="H11" t="s">
        <v>97</v>
      </c>
      <c r="I11" t="s">
        <v>76</v>
      </c>
      <c r="J11" t="s">
        <v>77</v>
      </c>
      <c r="K11">
        <v>1</v>
      </c>
      <c r="L11">
        <v>62884</v>
      </c>
      <c r="M11">
        <v>33713</v>
      </c>
      <c r="N11">
        <v>29171</v>
      </c>
      <c r="O11" s="6">
        <f>Table1[[#This Row],[Profit]]/Table1[[#This Row],[Sales_Amount]]</f>
        <v>0.46388588512181161</v>
      </c>
      <c r="P11" t="s">
        <v>98</v>
      </c>
    </row>
    <row r="12" spans="1:16" x14ac:dyDescent="0.35">
      <c r="A12" t="s">
        <v>99</v>
      </c>
      <c r="B12" t="s">
        <v>100</v>
      </c>
      <c r="C12" t="str">
        <f>TEXT(Table1[[#This Row],[Order_Date]],"mmm")</f>
        <v>Jul</v>
      </c>
      <c r="D12">
        <f>YEAR(Table1[[#This Row],[Order_Date]])</f>
        <v>2025</v>
      </c>
      <c r="E12" t="s">
        <v>46</v>
      </c>
      <c r="F12" t="s">
        <v>74</v>
      </c>
      <c r="G12" t="s">
        <v>57</v>
      </c>
      <c r="H12" t="s">
        <v>101</v>
      </c>
      <c r="I12" t="s">
        <v>82</v>
      </c>
      <c r="J12" t="s">
        <v>83</v>
      </c>
      <c r="K12">
        <v>9</v>
      </c>
      <c r="L12">
        <v>9834</v>
      </c>
      <c r="M12">
        <v>7317</v>
      </c>
      <c r="N12">
        <v>2517</v>
      </c>
      <c r="O12" s="6">
        <f>Table1[[#This Row],[Profit]]/Table1[[#This Row],[Sales_Amount]]</f>
        <v>0.25594874923733985</v>
      </c>
      <c r="P12" t="s">
        <v>52</v>
      </c>
    </row>
    <row r="13" spans="1:16" x14ac:dyDescent="0.35">
      <c r="A13" t="s">
        <v>102</v>
      </c>
      <c r="B13" t="s">
        <v>103</v>
      </c>
      <c r="C13" t="str">
        <f>TEXT(Table1[[#This Row],[Order_Date]],"mmm")</f>
        <v>Jan</v>
      </c>
      <c r="D13">
        <f>YEAR(Table1[[#This Row],[Order_Date]])</f>
        <v>2025</v>
      </c>
      <c r="E13" t="s">
        <v>63</v>
      </c>
      <c r="F13" t="s">
        <v>104</v>
      </c>
      <c r="G13" t="s">
        <v>65</v>
      </c>
      <c r="H13" t="s">
        <v>105</v>
      </c>
      <c r="I13" t="s">
        <v>67</v>
      </c>
      <c r="J13" t="s">
        <v>51</v>
      </c>
      <c r="K13">
        <v>2</v>
      </c>
      <c r="L13">
        <v>25453</v>
      </c>
      <c r="M13">
        <v>12780</v>
      </c>
      <c r="N13">
        <v>12673</v>
      </c>
      <c r="O13" s="6">
        <f>Table1[[#This Row],[Profit]]/Table1[[#This Row],[Sales_Amount]]</f>
        <v>0.49789808666954777</v>
      </c>
      <c r="P13" t="s">
        <v>98</v>
      </c>
    </row>
    <row r="14" spans="1:16" x14ac:dyDescent="0.35">
      <c r="A14" t="s">
        <v>106</v>
      </c>
      <c r="B14" t="s">
        <v>107</v>
      </c>
      <c r="C14" t="str">
        <f>TEXT(Table1[[#This Row],[Order_Date]],"mmm")</f>
        <v>Sep</v>
      </c>
      <c r="D14">
        <f>YEAR(Table1[[#This Row],[Order_Date]])</f>
        <v>2025</v>
      </c>
      <c r="E14" t="s">
        <v>46</v>
      </c>
      <c r="F14" t="s">
        <v>74</v>
      </c>
      <c r="G14" t="s">
        <v>70</v>
      </c>
      <c r="H14" t="s">
        <v>108</v>
      </c>
      <c r="I14" t="s">
        <v>50</v>
      </c>
      <c r="J14" t="s">
        <v>51</v>
      </c>
      <c r="K14">
        <v>2</v>
      </c>
      <c r="L14">
        <v>59988</v>
      </c>
      <c r="M14">
        <v>38891</v>
      </c>
      <c r="N14">
        <v>21097</v>
      </c>
      <c r="O14" s="6">
        <f>Table1[[#This Row],[Profit]]/Table1[[#This Row],[Sales_Amount]]</f>
        <v>0.35168700406748016</v>
      </c>
      <c r="P14" t="s">
        <v>60</v>
      </c>
    </row>
    <row r="15" spans="1:16" x14ac:dyDescent="0.35">
      <c r="A15" t="s">
        <v>109</v>
      </c>
      <c r="B15" t="s">
        <v>110</v>
      </c>
      <c r="C15" t="str">
        <f>TEXT(Table1[[#This Row],[Order_Date]],"mmm")</f>
        <v>Oct</v>
      </c>
      <c r="D15">
        <f>YEAR(Table1[[#This Row],[Order_Date]])</f>
        <v>2025</v>
      </c>
      <c r="E15" t="s">
        <v>111</v>
      </c>
      <c r="F15" t="s">
        <v>112</v>
      </c>
      <c r="G15" t="s">
        <v>57</v>
      </c>
      <c r="H15" t="s">
        <v>113</v>
      </c>
      <c r="I15" t="s">
        <v>87</v>
      </c>
      <c r="J15" t="s">
        <v>88</v>
      </c>
      <c r="K15">
        <v>22</v>
      </c>
      <c r="L15">
        <v>114516</v>
      </c>
      <c r="M15">
        <v>69147</v>
      </c>
      <c r="N15">
        <v>45369</v>
      </c>
      <c r="O15" s="6">
        <f>Table1[[#This Row],[Profit]]/Table1[[#This Row],[Sales_Amount]]</f>
        <v>0.39618044640050298</v>
      </c>
      <c r="P15" t="s">
        <v>52</v>
      </c>
    </row>
    <row r="16" spans="1:16" x14ac:dyDescent="0.35">
      <c r="A16" t="s">
        <v>114</v>
      </c>
      <c r="B16" t="s">
        <v>115</v>
      </c>
      <c r="C16" t="str">
        <f>TEXT(Table1[[#This Row],[Order_Date]],"mmm")</f>
        <v>Mar</v>
      </c>
      <c r="D16">
        <f>YEAR(Table1[[#This Row],[Order_Date]])</f>
        <v>2025</v>
      </c>
      <c r="E16" t="s">
        <v>63</v>
      </c>
      <c r="F16" t="s">
        <v>64</v>
      </c>
      <c r="G16" t="s">
        <v>116</v>
      </c>
      <c r="H16" t="s">
        <v>117</v>
      </c>
      <c r="I16" t="s">
        <v>87</v>
      </c>
      <c r="J16" t="s">
        <v>88</v>
      </c>
      <c r="K16">
        <v>9</v>
      </c>
      <c r="L16">
        <v>13197</v>
      </c>
      <c r="M16">
        <v>7021</v>
      </c>
      <c r="N16">
        <v>6176</v>
      </c>
      <c r="O16" s="6">
        <f>Table1[[#This Row],[Profit]]/Table1[[#This Row],[Sales_Amount]]</f>
        <v>0.46798514813972875</v>
      </c>
      <c r="P16" t="s">
        <v>98</v>
      </c>
    </row>
    <row r="17" spans="1:16" x14ac:dyDescent="0.35">
      <c r="A17" t="s">
        <v>118</v>
      </c>
      <c r="B17" t="s">
        <v>119</v>
      </c>
      <c r="C17" t="str">
        <f>TEXT(Table1[[#This Row],[Order_Date]],"mmm")</f>
        <v>Mar</v>
      </c>
      <c r="D17">
        <f>YEAR(Table1[[#This Row],[Order_Date]])</f>
        <v>2025</v>
      </c>
      <c r="E17" t="s">
        <v>46</v>
      </c>
      <c r="F17" t="s">
        <v>47</v>
      </c>
      <c r="G17" t="s">
        <v>65</v>
      </c>
      <c r="H17" t="s">
        <v>120</v>
      </c>
      <c r="I17" t="s">
        <v>67</v>
      </c>
      <c r="J17" t="s">
        <v>51</v>
      </c>
      <c r="K17">
        <v>12</v>
      </c>
      <c r="L17">
        <v>108180</v>
      </c>
      <c r="M17">
        <v>59532</v>
      </c>
      <c r="N17">
        <v>48648</v>
      </c>
      <c r="O17" s="6">
        <f>Table1[[#This Row],[Profit]]/Table1[[#This Row],[Sales_Amount]]</f>
        <v>0.44969495285635053</v>
      </c>
      <c r="P17" t="s">
        <v>121</v>
      </c>
    </row>
    <row r="18" spans="1:16" x14ac:dyDescent="0.35">
      <c r="A18" t="s">
        <v>122</v>
      </c>
      <c r="B18" t="s">
        <v>123</v>
      </c>
      <c r="C18" t="str">
        <f>TEXT(Table1[[#This Row],[Order_Date]],"mmm")</f>
        <v>Jul</v>
      </c>
      <c r="D18">
        <f>YEAR(Table1[[#This Row],[Order_Date]])</f>
        <v>2025</v>
      </c>
      <c r="E18" t="s">
        <v>46</v>
      </c>
      <c r="F18" t="s">
        <v>74</v>
      </c>
      <c r="G18" t="s">
        <v>80</v>
      </c>
      <c r="H18" t="s">
        <v>124</v>
      </c>
      <c r="I18" t="s">
        <v>125</v>
      </c>
      <c r="J18" t="s">
        <v>83</v>
      </c>
      <c r="K18">
        <v>22</v>
      </c>
      <c r="L18">
        <v>49103</v>
      </c>
      <c r="M18">
        <v>22701</v>
      </c>
      <c r="N18">
        <v>26402</v>
      </c>
      <c r="O18" s="6">
        <f>Table1[[#This Row],[Profit]]/Table1[[#This Row],[Sales_Amount]]</f>
        <v>0.53768608842636911</v>
      </c>
      <c r="P18" t="s">
        <v>98</v>
      </c>
    </row>
    <row r="19" spans="1:16" x14ac:dyDescent="0.35">
      <c r="A19" t="s">
        <v>126</v>
      </c>
      <c r="B19" t="s">
        <v>127</v>
      </c>
      <c r="C19" t="str">
        <f>TEXT(Table1[[#This Row],[Order_Date]],"mmm")</f>
        <v>Apr</v>
      </c>
      <c r="D19">
        <f>YEAR(Table1[[#This Row],[Order_Date]])</f>
        <v>2025</v>
      </c>
      <c r="E19" t="s">
        <v>63</v>
      </c>
      <c r="F19" t="s">
        <v>64</v>
      </c>
      <c r="G19" t="s">
        <v>128</v>
      </c>
      <c r="H19" t="s">
        <v>129</v>
      </c>
      <c r="I19" t="s">
        <v>67</v>
      </c>
      <c r="J19" t="s">
        <v>51</v>
      </c>
      <c r="K19">
        <v>2</v>
      </c>
      <c r="L19">
        <v>69096</v>
      </c>
      <c r="M19">
        <v>55738</v>
      </c>
      <c r="N19">
        <v>13358</v>
      </c>
      <c r="O19" s="6">
        <f>Table1[[#This Row],[Profit]]/Table1[[#This Row],[Sales_Amount]]</f>
        <v>0.19332522866736135</v>
      </c>
      <c r="P19" t="s">
        <v>52</v>
      </c>
    </row>
    <row r="20" spans="1:16" x14ac:dyDescent="0.35">
      <c r="A20" t="s">
        <v>130</v>
      </c>
      <c r="B20" t="s">
        <v>131</v>
      </c>
      <c r="C20" t="str">
        <f>TEXT(Table1[[#This Row],[Order_Date]],"mmm")</f>
        <v>May</v>
      </c>
      <c r="D20">
        <f>YEAR(Table1[[#This Row],[Order_Date]])</f>
        <v>2025</v>
      </c>
      <c r="E20" t="s">
        <v>55</v>
      </c>
      <c r="F20" t="s">
        <v>56</v>
      </c>
      <c r="G20" t="s">
        <v>128</v>
      </c>
      <c r="H20" t="s">
        <v>132</v>
      </c>
      <c r="I20" t="s">
        <v>125</v>
      </c>
      <c r="J20" t="s">
        <v>83</v>
      </c>
      <c r="K20">
        <v>14</v>
      </c>
      <c r="L20">
        <v>11218</v>
      </c>
      <c r="M20">
        <v>6152</v>
      </c>
      <c r="N20">
        <v>5066</v>
      </c>
      <c r="O20" s="6">
        <f>Table1[[#This Row],[Profit]]/Table1[[#This Row],[Sales_Amount]]</f>
        <v>0.45159564984845785</v>
      </c>
      <c r="P20" t="s">
        <v>60</v>
      </c>
    </row>
    <row r="21" spans="1:16" x14ac:dyDescent="0.35">
      <c r="A21" t="s">
        <v>133</v>
      </c>
      <c r="B21" t="s">
        <v>134</v>
      </c>
      <c r="C21" t="str">
        <f>TEXT(Table1[[#This Row],[Order_Date]],"mmm")</f>
        <v>Jun</v>
      </c>
      <c r="D21">
        <f>YEAR(Table1[[#This Row],[Order_Date]])</f>
        <v>2025</v>
      </c>
      <c r="E21" t="s">
        <v>55</v>
      </c>
      <c r="F21" t="s">
        <v>56</v>
      </c>
      <c r="G21" t="s">
        <v>48</v>
      </c>
      <c r="H21" t="s">
        <v>135</v>
      </c>
      <c r="I21" t="s">
        <v>125</v>
      </c>
      <c r="J21" t="s">
        <v>83</v>
      </c>
      <c r="K21">
        <v>17</v>
      </c>
      <c r="L21">
        <v>72863</v>
      </c>
      <c r="M21">
        <v>61759</v>
      </c>
      <c r="N21">
        <v>11104</v>
      </c>
      <c r="O21" s="6">
        <f>Table1[[#This Row],[Profit]]/Table1[[#This Row],[Sales_Amount]]</f>
        <v>0.15239559172693959</v>
      </c>
      <c r="P21" t="s">
        <v>60</v>
      </c>
    </row>
    <row r="22" spans="1:16" x14ac:dyDescent="0.35">
      <c r="A22" t="s">
        <v>136</v>
      </c>
      <c r="B22" t="s">
        <v>137</v>
      </c>
      <c r="C22" t="str">
        <f>TEXT(Table1[[#This Row],[Order_Date]],"mmm")</f>
        <v>Jul</v>
      </c>
      <c r="D22">
        <f>YEAR(Table1[[#This Row],[Order_Date]])</f>
        <v>2025</v>
      </c>
      <c r="E22" t="s">
        <v>63</v>
      </c>
      <c r="F22" t="s">
        <v>104</v>
      </c>
      <c r="G22" t="s">
        <v>138</v>
      </c>
      <c r="H22" t="s">
        <v>139</v>
      </c>
      <c r="I22" t="s">
        <v>76</v>
      </c>
      <c r="J22" t="s">
        <v>77</v>
      </c>
      <c r="K22">
        <v>17</v>
      </c>
      <c r="L22">
        <v>15943</v>
      </c>
      <c r="M22">
        <v>9176</v>
      </c>
      <c r="N22">
        <v>6767</v>
      </c>
      <c r="O22" s="6">
        <f>Table1[[#This Row],[Profit]]/Table1[[#This Row],[Sales_Amount]]</f>
        <v>0.42444960170607793</v>
      </c>
      <c r="P22" t="s">
        <v>52</v>
      </c>
    </row>
    <row r="23" spans="1:16" x14ac:dyDescent="0.35">
      <c r="A23" t="s">
        <v>140</v>
      </c>
      <c r="B23" t="s">
        <v>141</v>
      </c>
      <c r="C23" t="str">
        <f>TEXT(Table1[[#This Row],[Order_Date]],"mmm")</f>
        <v>Sep</v>
      </c>
      <c r="D23">
        <f>YEAR(Table1[[#This Row],[Order_Date]])</f>
        <v>2025</v>
      </c>
      <c r="E23" t="s">
        <v>63</v>
      </c>
      <c r="F23" t="s">
        <v>64</v>
      </c>
      <c r="G23" t="s">
        <v>128</v>
      </c>
      <c r="H23" t="s">
        <v>142</v>
      </c>
      <c r="I23" t="s">
        <v>143</v>
      </c>
      <c r="J23" t="s">
        <v>51</v>
      </c>
      <c r="K23">
        <v>14</v>
      </c>
      <c r="L23">
        <v>17946</v>
      </c>
      <c r="M23">
        <v>10815</v>
      </c>
      <c r="N23">
        <v>7131</v>
      </c>
      <c r="O23" s="6">
        <f>Table1[[#This Row],[Profit]]/Table1[[#This Row],[Sales_Amount]]</f>
        <v>0.39735874289535272</v>
      </c>
      <c r="P23" t="s">
        <v>98</v>
      </c>
    </row>
    <row r="24" spans="1:16" x14ac:dyDescent="0.35">
      <c r="A24" t="s">
        <v>144</v>
      </c>
      <c r="B24" t="s">
        <v>145</v>
      </c>
      <c r="C24" t="str">
        <f>TEXT(Table1[[#This Row],[Order_Date]],"mmm")</f>
        <v>Aug</v>
      </c>
      <c r="D24">
        <f>YEAR(Table1[[#This Row],[Order_Date]])</f>
        <v>2025</v>
      </c>
      <c r="E24" t="s">
        <v>63</v>
      </c>
      <c r="F24" t="s">
        <v>104</v>
      </c>
      <c r="G24" t="s">
        <v>138</v>
      </c>
      <c r="H24" t="s">
        <v>146</v>
      </c>
      <c r="I24" t="s">
        <v>125</v>
      </c>
      <c r="J24" t="s">
        <v>83</v>
      </c>
      <c r="K24">
        <v>8</v>
      </c>
      <c r="L24">
        <v>35558</v>
      </c>
      <c r="M24">
        <v>16290</v>
      </c>
      <c r="N24">
        <v>19268</v>
      </c>
      <c r="O24" s="6">
        <f>Table1[[#This Row],[Profit]]/Table1[[#This Row],[Sales_Amount]]</f>
        <v>0.54187524607683224</v>
      </c>
      <c r="P24" t="s">
        <v>121</v>
      </c>
    </row>
    <row r="25" spans="1:16" x14ac:dyDescent="0.35">
      <c r="A25" t="s">
        <v>147</v>
      </c>
      <c r="B25" t="s">
        <v>148</v>
      </c>
      <c r="C25" t="str">
        <f>TEXT(Table1[[#This Row],[Order_Date]],"mmm")</f>
        <v>Feb</v>
      </c>
      <c r="D25">
        <f>YEAR(Table1[[#This Row],[Order_Date]])</f>
        <v>2025</v>
      </c>
      <c r="E25" t="s">
        <v>63</v>
      </c>
      <c r="F25" t="s">
        <v>104</v>
      </c>
      <c r="G25" t="s">
        <v>65</v>
      </c>
      <c r="H25" t="s">
        <v>149</v>
      </c>
      <c r="I25" t="s">
        <v>59</v>
      </c>
      <c r="J25" t="s">
        <v>51</v>
      </c>
      <c r="K25">
        <v>19</v>
      </c>
      <c r="L25">
        <v>102528</v>
      </c>
      <c r="M25">
        <v>65736</v>
      </c>
      <c r="N25">
        <v>36792</v>
      </c>
      <c r="O25" s="6">
        <f>Table1[[#This Row],[Profit]]/Table1[[#This Row],[Sales_Amount]]</f>
        <v>0.35884831460674155</v>
      </c>
      <c r="P25" t="s">
        <v>98</v>
      </c>
    </row>
    <row r="26" spans="1:16" x14ac:dyDescent="0.35">
      <c r="A26" t="s">
        <v>150</v>
      </c>
      <c r="B26" t="s">
        <v>151</v>
      </c>
      <c r="C26" t="str">
        <f>TEXT(Table1[[#This Row],[Order_Date]],"mmm")</f>
        <v>May</v>
      </c>
      <c r="D26">
        <f>YEAR(Table1[[#This Row],[Order_Date]])</f>
        <v>2025</v>
      </c>
      <c r="E26" t="s">
        <v>46</v>
      </c>
      <c r="F26" t="s">
        <v>47</v>
      </c>
      <c r="G26" t="s">
        <v>48</v>
      </c>
      <c r="H26" t="s">
        <v>152</v>
      </c>
      <c r="I26" t="s">
        <v>50</v>
      </c>
      <c r="J26" t="s">
        <v>51</v>
      </c>
      <c r="K26">
        <v>9</v>
      </c>
      <c r="L26">
        <v>114341</v>
      </c>
      <c r="M26">
        <v>94999</v>
      </c>
      <c r="N26">
        <v>19342</v>
      </c>
      <c r="O26" s="6">
        <f>Table1[[#This Row],[Profit]]/Table1[[#This Row],[Sales_Amount]]</f>
        <v>0.16916066852660025</v>
      </c>
      <c r="P26" t="s">
        <v>60</v>
      </c>
    </row>
    <row r="27" spans="1:16" x14ac:dyDescent="0.35">
      <c r="A27" t="s">
        <v>153</v>
      </c>
      <c r="B27" t="s">
        <v>154</v>
      </c>
      <c r="C27" t="str">
        <f>TEXT(Table1[[#This Row],[Order_Date]],"mmm")</f>
        <v>Dec</v>
      </c>
      <c r="D27">
        <f>YEAR(Table1[[#This Row],[Order_Date]])</f>
        <v>2025</v>
      </c>
      <c r="E27" t="s">
        <v>63</v>
      </c>
      <c r="F27" t="s">
        <v>64</v>
      </c>
      <c r="G27" t="s">
        <v>116</v>
      </c>
      <c r="H27" t="s">
        <v>155</v>
      </c>
      <c r="I27" t="s">
        <v>156</v>
      </c>
      <c r="J27" t="s">
        <v>157</v>
      </c>
      <c r="K27">
        <v>3</v>
      </c>
      <c r="L27">
        <v>36258</v>
      </c>
      <c r="M27">
        <v>19836</v>
      </c>
      <c r="N27">
        <v>16422</v>
      </c>
      <c r="O27" s="6">
        <f>Table1[[#This Row],[Profit]]/Table1[[#This Row],[Sales_Amount]]</f>
        <v>0.45292073473440342</v>
      </c>
      <c r="P27" t="s">
        <v>98</v>
      </c>
    </row>
    <row r="28" spans="1:16" x14ac:dyDescent="0.35">
      <c r="A28" t="s">
        <v>158</v>
      </c>
      <c r="B28" t="s">
        <v>159</v>
      </c>
      <c r="C28" t="str">
        <f>TEXT(Table1[[#This Row],[Order_Date]],"mmm")</f>
        <v>Jul</v>
      </c>
      <c r="D28">
        <f>YEAR(Table1[[#This Row],[Order_Date]])</f>
        <v>2025</v>
      </c>
      <c r="E28" t="s">
        <v>111</v>
      </c>
      <c r="F28" t="s">
        <v>112</v>
      </c>
      <c r="G28" t="s">
        <v>65</v>
      </c>
      <c r="H28" t="s">
        <v>160</v>
      </c>
      <c r="I28" t="s">
        <v>59</v>
      </c>
      <c r="J28" t="s">
        <v>51</v>
      </c>
      <c r="K28">
        <v>21</v>
      </c>
      <c r="L28">
        <v>113260</v>
      </c>
      <c r="M28">
        <v>52125</v>
      </c>
      <c r="N28">
        <v>61135</v>
      </c>
      <c r="O28" s="6">
        <f>Table1[[#This Row],[Profit]]/Table1[[#This Row],[Sales_Amount]]</f>
        <v>0.53977573724174466</v>
      </c>
      <c r="P28" t="s">
        <v>98</v>
      </c>
    </row>
    <row r="29" spans="1:16" x14ac:dyDescent="0.35">
      <c r="A29" t="s">
        <v>161</v>
      </c>
      <c r="B29" t="s">
        <v>162</v>
      </c>
      <c r="C29" t="str">
        <f>TEXT(Table1[[#This Row],[Order_Date]],"mmm")</f>
        <v>Oct</v>
      </c>
      <c r="D29">
        <f>YEAR(Table1[[#This Row],[Order_Date]])</f>
        <v>2025</v>
      </c>
      <c r="E29" t="s">
        <v>111</v>
      </c>
      <c r="F29" t="s">
        <v>112</v>
      </c>
      <c r="G29" t="s">
        <v>57</v>
      </c>
      <c r="H29" t="s">
        <v>163</v>
      </c>
      <c r="I29" t="s">
        <v>50</v>
      </c>
      <c r="J29" t="s">
        <v>51</v>
      </c>
      <c r="K29">
        <v>24</v>
      </c>
      <c r="L29">
        <v>85198</v>
      </c>
      <c r="M29">
        <v>68287</v>
      </c>
      <c r="N29">
        <v>16911</v>
      </c>
      <c r="O29" s="6">
        <f>Table1[[#This Row],[Profit]]/Table1[[#This Row],[Sales_Amount]]</f>
        <v>0.19849057489612432</v>
      </c>
      <c r="P29" t="s">
        <v>121</v>
      </c>
    </row>
    <row r="30" spans="1:16" x14ac:dyDescent="0.35">
      <c r="A30" t="s">
        <v>164</v>
      </c>
      <c r="B30" t="s">
        <v>165</v>
      </c>
      <c r="C30" t="str">
        <f>TEXT(Table1[[#This Row],[Order_Date]],"mmm")</f>
        <v>Mar</v>
      </c>
      <c r="D30">
        <f>YEAR(Table1[[#This Row],[Order_Date]])</f>
        <v>2025</v>
      </c>
      <c r="E30" t="s">
        <v>63</v>
      </c>
      <c r="F30" t="s">
        <v>64</v>
      </c>
      <c r="G30" t="s">
        <v>138</v>
      </c>
      <c r="H30" t="s">
        <v>166</v>
      </c>
      <c r="I30" t="s">
        <v>76</v>
      </c>
      <c r="J30" t="s">
        <v>77</v>
      </c>
      <c r="K30">
        <v>17</v>
      </c>
      <c r="L30">
        <v>73200</v>
      </c>
      <c r="M30">
        <v>51988</v>
      </c>
      <c r="N30">
        <v>21212</v>
      </c>
      <c r="O30" s="6">
        <f>Table1[[#This Row],[Profit]]/Table1[[#This Row],[Sales_Amount]]</f>
        <v>0.28978142076502733</v>
      </c>
      <c r="P30" t="s">
        <v>121</v>
      </c>
    </row>
    <row r="31" spans="1:16" x14ac:dyDescent="0.35">
      <c r="A31" t="s">
        <v>167</v>
      </c>
      <c r="B31" t="s">
        <v>168</v>
      </c>
      <c r="C31" t="str">
        <f>TEXT(Table1[[#This Row],[Order_Date]],"mmm")</f>
        <v>Jul</v>
      </c>
      <c r="D31">
        <f>YEAR(Table1[[#This Row],[Order_Date]])</f>
        <v>2025</v>
      </c>
      <c r="E31" t="s">
        <v>111</v>
      </c>
      <c r="F31" t="s">
        <v>169</v>
      </c>
      <c r="G31" t="s">
        <v>116</v>
      </c>
      <c r="H31" t="s">
        <v>170</v>
      </c>
      <c r="I31" t="s">
        <v>50</v>
      </c>
      <c r="J31" t="s">
        <v>51</v>
      </c>
      <c r="K31">
        <v>13</v>
      </c>
      <c r="L31">
        <v>41078</v>
      </c>
      <c r="M31">
        <v>29541</v>
      </c>
      <c r="N31">
        <v>11537</v>
      </c>
      <c r="O31" s="6">
        <f>Table1[[#This Row],[Profit]]/Table1[[#This Row],[Sales_Amount]]</f>
        <v>0.28085593261599884</v>
      </c>
      <c r="P31" t="s">
        <v>52</v>
      </c>
    </row>
    <row r="32" spans="1:16" x14ac:dyDescent="0.35">
      <c r="A32" t="s">
        <v>171</v>
      </c>
      <c r="B32" t="s">
        <v>172</v>
      </c>
      <c r="C32" t="str">
        <f>TEXT(Table1[[#This Row],[Order_Date]],"mmm")</f>
        <v>Jun</v>
      </c>
      <c r="D32">
        <f>YEAR(Table1[[#This Row],[Order_Date]])</f>
        <v>2025</v>
      </c>
      <c r="E32" t="s">
        <v>111</v>
      </c>
      <c r="F32" t="s">
        <v>112</v>
      </c>
      <c r="G32" t="s">
        <v>57</v>
      </c>
      <c r="H32" t="s">
        <v>173</v>
      </c>
      <c r="I32" t="s">
        <v>143</v>
      </c>
      <c r="J32" t="s">
        <v>51</v>
      </c>
      <c r="K32">
        <v>13</v>
      </c>
      <c r="L32">
        <v>99760</v>
      </c>
      <c r="M32">
        <v>58294</v>
      </c>
      <c r="N32">
        <v>41466</v>
      </c>
      <c r="O32" s="6">
        <f>Table1[[#This Row],[Profit]]/Table1[[#This Row],[Sales_Amount]]</f>
        <v>0.41565757818765037</v>
      </c>
      <c r="P32" t="s">
        <v>121</v>
      </c>
    </row>
    <row r="33" spans="1:16" x14ac:dyDescent="0.35">
      <c r="A33" t="s">
        <v>174</v>
      </c>
      <c r="B33" t="s">
        <v>175</v>
      </c>
      <c r="C33" t="str">
        <f>TEXT(Table1[[#This Row],[Order_Date]],"mmm")</f>
        <v>Jan</v>
      </c>
      <c r="D33">
        <f>YEAR(Table1[[#This Row],[Order_Date]])</f>
        <v>2025</v>
      </c>
      <c r="E33" t="s">
        <v>46</v>
      </c>
      <c r="F33" t="s">
        <v>74</v>
      </c>
      <c r="G33" t="s">
        <v>128</v>
      </c>
      <c r="H33" t="s">
        <v>176</v>
      </c>
      <c r="I33" t="s">
        <v>82</v>
      </c>
      <c r="J33" t="s">
        <v>83</v>
      </c>
      <c r="K33">
        <v>14</v>
      </c>
      <c r="L33">
        <v>119995</v>
      </c>
      <c r="M33">
        <v>101060</v>
      </c>
      <c r="N33">
        <v>18935</v>
      </c>
      <c r="O33" s="6">
        <f>Table1[[#This Row],[Profit]]/Table1[[#This Row],[Sales_Amount]]</f>
        <v>0.15779824159339972</v>
      </c>
      <c r="P33" t="s">
        <v>98</v>
      </c>
    </row>
    <row r="34" spans="1:16" x14ac:dyDescent="0.35">
      <c r="A34" t="s">
        <v>178</v>
      </c>
      <c r="B34" t="s">
        <v>179</v>
      </c>
      <c r="C34" t="str">
        <f>TEXT(Table1[[#This Row],[Order_Date]],"mmm")</f>
        <v>May</v>
      </c>
      <c r="D34">
        <f>YEAR(Table1[[#This Row],[Order_Date]])</f>
        <v>2025</v>
      </c>
      <c r="E34" t="s">
        <v>63</v>
      </c>
      <c r="F34" t="s">
        <v>104</v>
      </c>
      <c r="G34" t="s">
        <v>65</v>
      </c>
      <c r="H34" t="s">
        <v>180</v>
      </c>
      <c r="I34" t="s">
        <v>125</v>
      </c>
      <c r="J34" t="s">
        <v>83</v>
      </c>
      <c r="K34">
        <v>24</v>
      </c>
      <c r="L34">
        <v>22570</v>
      </c>
      <c r="M34">
        <v>18060</v>
      </c>
      <c r="N34">
        <v>4510</v>
      </c>
      <c r="O34" s="6">
        <f>Table1[[#This Row],[Profit]]/Table1[[#This Row],[Sales_Amount]]</f>
        <v>0.19982277359326539</v>
      </c>
      <c r="P34" t="s">
        <v>60</v>
      </c>
    </row>
    <row r="35" spans="1:16" x14ac:dyDescent="0.35">
      <c r="A35" t="s">
        <v>181</v>
      </c>
      <c r="B35" t="s">
        <v>182</v>
      </c>
      <c r="C35" t="str">
        <f>TEXT(Table1[[#This Row],[Order_Date]],"mmm")</f>
        <v>Nov</v>
      </c>
      <c r="D35">
        <f>YEAR(Table1[[#This Row],[Order_Date]])</f>
        <v>2025</v>
      </c>
      <c r="E35" t="s">
        <v>111</v>
      </c>
      <c r="F35" t="s">
        <v>112</v>
      </c>
      <c r="G35" t="s">
        <v>70</v>
      </c>
      <c r="H35" t="s">
        <v>183</v>
      </c>
      <c r="I35" t="s">
        <v>82</v>
      </c>
      <c r="J35" t="s">
        <v>83</v>
      </c>
      <c r="K35">
        <v>13</v>
      </c>
      <c r="L35">
        <v>28581</v>
      </c>
      <c r="M35">
        <v>14192</v>
      </c>
      <c r="N35">
        <v>14389</v>
      </c>
      <c r="O35" s="6">
        <f>Table1[[#This Row],[Profit]]/Table1[[#This Row],[Sales_Amount]]</f>
        <v>0.50344634547426614</v>
      </c>
      <c r="P35" t="s">
        <v>121</v>
      </c>
    </row>
    <row r="36" spans="1:16" x14ac:dyDescent="0.35">
      <c r="A36" t="s">
        <v>184</v>
      </c>
      <c r="B36" t="s">
        <v>110</v>
      </c>
      <c r="C36" t="str">
        <f>TEXT(Table1[[#This Row],[Order_Date]],"mmm")</f>
        <v>Oct</v>
      </c>
      <c r="D36">
        <f>YEAR(Table1[[#This Row],[Order_Date]])</f>
        <v>2025</v>
      </c>
      <c r="E36" t="s">
        <v>63</v>
      </c>
      <c r="F36" t="s">
        <v>64</v>
      </c>
      <c r="G36" t="s">
        <v>57</v>
      </c>
      <c r="H36" t="s">
        <v>185</v>
      </c>
      <c r="I36" t="s">
        <v>143</v>
      </c>
      <c r="J36" t="s">
        <v>51</v>
      </c>
      <c r="K36">
        <v>5</v>
      </c>
      <c r="L36">
        <v>46456</v>
      </c>
      <c r="M36">
        <v>32970</v>
      </c>
      <c r="N36">
        <v>13486</v>
      </c>
      <c r="O36" s="6">
        <f>Table1[[#This Row],[Profit]]/Table1[[#This Row],[Sales_Amount]]</f>
        <v>0.29029619424832098</v>
      </c>
      <c r="P36" t="s">
        <v>52</v>
      </c>
    </row>
    <row r="37" spans="1:16" x14ac:dyDescent="0.35">
      <c r="A37" t="s">
        <v>186</v>
      </c>
      <c r="B37" t="s">
        <v>187</v>
      </c>
      <c r="C37" t="str">
        <f>TEXT(Table1[[#This Row],[Order_Date]],"mmm")</f>
        <v>Apr</v>
      </c>
      <c r="D37">
        <f>YEAR(Table1[[#This Row],[Order_Date]])</f>
        <v>2025</v>
      </c>
      <c r="E37" t="s">
        <v>55</v>
      </c>
      <c r="F37" t="s">
        <v>188</v>
      </c>
      <c r="G37" t="s">
        <v>48</v>
      </c>
      <c r="H37" t="s">
        <v>189</v>
      </c>
      <c r="I37" t="s">
        <v>76</v>
      </c>
      <c r="J37" t="s">
        <v>77</v>
      </c>
      <c r="K37">
        <v>6</v>
      </c>
      <c r="L37">
        <v>94194</v>
      </c>
      <c r="M37">
        <v>76321</v>
      </c>
      <c r="N37">
        <v>17873</v>
      </c>
      <c r="O37" s="6">
        <f>Table1[[#This Row],[Profit]]/Table1[[#This Row],[Sales_Amount]]</f>
        <v>0.18974669299530755</v>
      </c>
      <c r="P37" t="s">
        <v>121</v>
      </c>
    </row>
    <row r="38" spans="1:16" x14ac:dyDescent="0.35">
      <c r="A38" t="s">
        <v>190</v>
      </c>
      <c r="B38" t="s">
        <v>191</v>
      </c>
      <c r="C38" t="str">
        <f>TEXT(Table1[[#This Row],[Order_Date]],"mmm")</f>
        <v>Oct</v>
      </c>
      <c r="D38">
        <f>YEAR(Table1[[#This Row],[Order_Date]])</f>
        <v>2025</v>
      </c>
      <c r="E38" t="s">
        <v>55</v>
      </c>
      <c r="F38" t="s">
        <v>56</v>
      </c>
      <c r="G38" t="s">
        <v>70</v>
      </c>
      <c r="H38" t="s">
        <v>192</v>
      </c>
      <c r="I38" t="s">
        <v>59</v>
      </c>
      <c r="J38" t="s">
        <v>51</v>
      </c>
      <c r="K38">
        <v>5</v>
      </c>
      <c r="L38">
        <v>68479</v>
      </c>
      <c r="M38">
        <v>44378</v>
      </c>
      <c r="N38">
        <v>24101</v>
      </c>
      <c r="O38" s="6">
        <f>Table1[[#This Row],[Profit]]/Table1[[#This Row],[Sales_Amount]]</f>
        <v>0.3519473123147242</v>
      </c>
      <c r="P38" t="s">
        <v>60</v>
      </c>
    </row>
    <row r="39" spans="1:16" x14ac:dyDescent="0.35">
      <c r="A39" t="s">
        <v>193</v>
      </c>
      <c r="B39" t="s">
        <v>194</v>
      </c>
      <c r="C39" t="str">
        <f>TEXT(Table1[[#This Row],[Order_Date]],"mmm")</f>
        <v>Jun</v>
      </c>
      <c r="D39">
        <f>YEAR(Table1[[#This Row],[Order_Date]])</f>
        <v>2025</v>
      </c>
      <c r="E39" t="s">
        <v>63</v>
      </c>
      <c r="F39" t="s">
        <v>64</v>
      </c>
      <c r="G39" t="s">
        <v>65</v>
      </c>
      <c r="H39" t="s">
        <v>195</v>
      </c>
      <c r="I39" t="s">
        <v>50</v>
      </c>
      <c r="J39" t="s">
        <v>51</v>
      </c>
      <c r="K39">
        <v>17</v>
      </c>
      <c r="L39">
        <v>32031</v>
      </c>
      <c r="M39">
        <v>21803</v>
      </c>
      <c r="N39">
        <v>10228</v>
      </c>
      <c r="O39" s="6">
        <f>Table1[[#This Row],[Profit]]/Table1[[#This Row],[Sales_Amount]]</f>
        <v>0.3193156629515157</v>
      </c>
      <c r="P39" t="s">
        <v>98</v>
      </c>
    </row>
    <row r="40" spans="1:16" x14ac:dyDescent="0.35">
      <c r="A40" t="s">
        <v>196</v>
      </c>
      <c r="B40" t="s">
        <v>197</v>
      </c>
      <c r="C40" t="str">
        <f>TEXT(Table1[[#This Row],[Order_Date]],"mmm")</f>
        <v>Sep</v>
      </c>
      <c r="D40">
        <f>YEAR(Table1[[#This Row],[Order_Date]])</f>
        <v>2025</v>
      </c>
      <c r="E40" t="s">
        <v>55</v>
      </c>
      <c r="F40" t="s">
        <v>56</v>
      </c>
      <c r="G40" t="s">
        <v>80</v>
      </c>
      <c r="H40" t="s">
        <v>198</v>
      </c>
      <c r="I40" t="s">
        <v>59</v>
      </c>
      <c r="J40" t="s">
        <v>51</v>
      </c>
      <c r="K40">
        <v>16</v>
      </c>
      <c r="L40">
        <v>68601</v>
      </c>
      <c r="M40">
        <v>46515</v>
      </c>
      <c r="N40">
        <v>22086</v>
      </c>
      <c r="O40" s="6">
        <f>Table1[[#This Row],[Profit]]/Table1[[#This Row],[Sales_Amount]]</f>
        <v>0.32194865964053004</v>
      </c>
      <c r="P40" t="s">
        <v>121</v>
      </c>
    </row>
    <row r="41" spans="1:16" x14ac:dyDescent="0.35">
      <c r="A41" t="s">
        <v>199</v>
      </c>
      <c r="B41" t="s">
        <v>200</v>
      </c>
      <c r="C41" t="str">
        <f>TEXT(Table1[[#This Row],[Order_Date]],"mmm")</f>
        <v>Nov</v>
      </c>
      <c r="D41">
        <f>YEAR(Table1[[#This Row],[Order_Date]])</f>
        <v>2025</v>
      </c>
      <c r="E41" t="s">
        <v>46</v>
      </c>
      <c r="F41" t="s">
        <v>47</v>
      </c>
      <c r="G41" t="s">
        <v>65</v>
      </c>
      <c r="H41" t="s">
        <v>201</v>
      </c>
      <c r="I41" t="s">
        <v>156</v>
      </c>
      <c r="J41" t="s">
        <v>157</v>
      </c>
      <c r="K41">
        <v>4</v>
      </c>
      <c r="L41">
        <v>117566</v>
      </c>
      <c r="M41">
        <v>66902</v>
      </c>
      <c r="N41">
        <v>50664</v>
      </c>
      <c r="O41" s="6">
        <f>Table1[[#This Row],[Profit]]/Table1[[#This Row],[Sales_Amount]]</f>
        <v>0.43094091829270365</v>
      </c>
      <c r="P41" t="s">
        <v>52</v>
      </c>
    </row>
    <row r="42" spans="1:16" x14ac:dyDescent="0.35">
      <c r="A42" t="s">
        <v>202</v>
      </c>
      <c r="B42" t="s">
        <v>203</v>
      </c>
      <c r="C42" t="str">
        <f>TEXT(Table1[[#This Row],[Order_Date]],"mmm")</f>
        <v>Sep</v>
      </c>
      <c r="D42">
        <f>YEAR(Table1[[#This Row],[Order_Date]])</f>
        <v>2025</v>
      </c>
      <c r="E42" t="s">
        <v>46</v>
      </c>
      <c r="F42" t="s">
        <v>74</v>
      </c>
      <c r="G42" t="s">
        <v>128</v>
      </c>
      <c r="H42" t="s">
        <v>204</v>
      </c>
      <c r="I42" t="s">
        <v>50</v>
      </c>
      <c r="J42" t="s">
        <v>51</v>
      </c>
      <c r="K42">
        <v>22</v>
      </c>
      <c r="L42">
        <v>19694</v>
      </c>
      <c r="M42">
        <v>16656</v>
      </c>
      <c r="N42">
        <v>3038</v>
      </c>
      <c r="O42" s="6">
        <f>Table1[[#This Row],[Profit]]/Table1[[#This Row],[Sales_Amount]]</f>
        <v>0.15426018076571546</v>
      </c>
      <c r="P42" t="s">
        <v>60</v>
      </c>
    </row>
    <row r="43" spans="1:16" x14ac:dyDescent="0.35">
      <c r="A43" t="s">
        <v>205</v>
      </c>
      <c r="B43" t="s">
        <v>206</v>
      </c>
      <c r="C43" t="str">
        <f>TEXT(Table1[[#This Row],[Order_Date]],"mmm")</f>
        <v>Jan</v>
      </c>
      <c r="D43">
        <f>YEAR(Table1[[#This Row],[Order_Date]])</f>
        <v>2025</v>
      </c>
      <c r="E43" t="s">
        <v>111</v>
      </c>
      <c r="F43" t="s">
        <v>169</v>
      </c>
      <c r="G43" t="s">
        <v>116</v>
      </c>
      <c r="H43" t="s">
        <v>207</v>
      </c>
      <c r="I43" t="s">
        <v>143</v>
      </c>
      <c r="J43" t="s">
        <v>51</v>
      </c>
      <c r="K43">
        <v>12</v>
      </c>
      <c r="L43">
        <v>47776</v>
      </c>
      <c r="M43">
        <v>24018</v>
      </c>
      <c r="N43">
        <v>23758</v>
      </c>
      <c r="O43" s="6">
        <f>Table1[[#This Row],[Profit]]/Table1[[#This Row],[Sales_Amount]]</f>
        <v>0.49727896851975889</v>
      </c>
      <c r="P43" t="s">
        <v>121</v>
      </c>
    </row>
    <row r="44" spans="1:16" x14ac:dyDescent="0.35">
      <c r="A44" t="s">
        <v>208</v>
      </c>
      <c r="B44" t="s">
        <v>209</v>
      </c>
      <c r="C44" t="str">
        <f>TEXT(Table1[[#This Row],[Order_Date]],"mmm")</f>
        <v>Sep</v>
      </c>
      <c r="D44">
        <f>YEAR(Table1[[#This Row],[Order_Date]])</f>
        <v>2025</v>
      </c>
      <c r="E44" t="s">
        <v>111</v>
      </c>
      <c r="F44" t="s">
        <v>169</v>
      </c>
      <c r="G44" t="s">
        <v>116</v>
      </c>
      <c r="H44" t="s">
        <v>210</v>
      </c>
      <c r="I44" t="s">
        <v>59</v>
      </c>
      <c r="J44" t="s">
        <v>51</v>
      </c>
      <c r="K44">
        <v>21</v>
      </c>
      <c r="L44">
        <v>72344</v>
      </c>
      <c r="M44">
        <v>49116</v>
      </c>
      <c r="N44">
        <v>23228</v>
      </c>
      <c r="O44" s="6">
        <f>Table1[[#This Row],[Profit]]/Table1[[#This Row],[Sales_Amount]]</f>
        <v>0.32107707619152936</v>
      </c>
      <c r="P44" t="s">
        <v>52</v>
      </c>
    </row>
    <row r="45" spans="1:16" x14ac:dyDescent="0.35">
      <c r="A45" t="s">
        <v>211</v>
      </c>
      <c r="B45" t="s">
        <v>212</v>
      </c>
      <c r="C45" t="str">
        <f>TEXT(Table1[[#This Row],[Order_Date]],"mmm")</f>
        <v>Feb</v>
      </c>
      <c r="D45">
        <f>YEAR(Table1[[#This Row],[Order_Date]])</f>
        <v>2025</v>
      </c>
      <c r="E45" t="s">
        <v>55</v>
      </c>
      <c r="F45" t="s">
        <v>56</v>
      </c>
      <c r="G45" t="s">
        <v>57</v>
      </c>
      <c r="H45" t="s">
        <v>213</v>
      </c>
      <c r="I45" t="s">
        <v>67</v>
      </c>
      <c r="J45" t="s">
        <v>51</v>
      </c>
      <c r="K45">
        <v>25</v>
      </c>
      <c r="L45">
        <v>41752</v>
      </c>
      <c r="M45">
        <v>27284</v>
      </c>
      <c r="N45">
        <v>14468</v>
      </c>
      <c r="O45" s="6">
        <f>Table1[[#This Row],[Profit]]/Table1[[#This Row],[Sales_Amount]]</f>
        <v>0.34652232228396246</v>
      </c>
      <c r="P45" t="s">
        <v>60</v>
      </c>
    </row>
    <row r="46" spans="1:16" x14ac:dyDescent="0.35">
      <c r="A46" t="s">
        <v>214</v>
      </c>
      <c r="B46" t="s">
        <v>103</v>
      </c>
      <c r="C46" t="str">
        <f>TEXT(Table1[[#This Row],[Order_Date]],"mmm")</f>
        <v>Jan</v>
      </c>
      <c r="D46">
        <f>YEAR(Table1[[#This Row],[Order_Date]])</f>
        <v>2025</v>
      </c>
      <c r="E46" t="s">
        <v>63</v>
      </c>
      <c r="F46" t="s">
        <v>104</v>
      </c>
      <c r="G46" t="s">
        <v>65</v>
      </c>
      <c r="H46" t="s">
        <v>215</v>
      </c>
      <c r="I46" t="s">
        <v>59</v>
      </c>
      <c r="J46" t="s">
        <v>51</v>
      </c>
      <c r="K46">
        <v>14</v>
      </c>
      <c r="L46">
        <v>87292</v>
      </c>
      <c r="M46">
        <v>70037</v>
      </c>
      <c r="N46">
        <v>17255</v>
      </c>
      <c r="O46" s="6">
        <f>Table1[[#This Row],[Profit]]/Table1[[#This Row],[Sales_Amount]]</f>
        <v>0.19766988956605416</v>
      </c>
      <c r="P46" t="s">
        <v>121</v>
      </c>
    </row>
    <row r="47" spans="1:16" x14ac:dyDescent="0.35">
      <c r="A47" t="s">
        <v>216</v>
      </c>
      <c r="B47" t="s">
        <v>217</v>
      </c>
      <c r="C47" t="str">
        <f>TEXT(Table1[[#This Row],[Order_Date]],"mmm")</f>
        <v>Aug</v>
      </c>
      <c r="D47">
        <f>YEAR(Table1[[#This Row],[Order_Date]])</f>
        <v>2025</v>
      </c>
      <c r="E47" t="s">
        <v>63</v>
      </c>
      <c r="F47" t="s">
        <v>64</v>
      </c>
      <c r="G47" t="s">
        <v>70</v>
      </c>
      <c r="H47" t="s">
        <v>218</v>
      </c>
      <c r="I47" t="s">
        <v>67</v>
      </c>
      <c r="J47" t="s">
        <v>51</v>
      </c>
      <c r="K47">
        <v>5</v>
      </c>
      <c r="L47">
        <v>73300</v>
      </c>
      <c r="M47">
        <v>53770</v>
      </c>
      <c r="N47">
        <v>19530</v>
      </c>
      <c r="O47" s="6">
        <f>Table1[[#This Row],[Profit]]/Table1[[#This Row],[Sales_Amount]]</f>
        <v>0.2664392905866303</v>
      </c>
      <c r="P47" t="s">
        <v>52</v>
      </c>
    </row>
    <row r="48" spans="1:16" x14ac:dyDescent="0.35">
      <c r="A48" t="s">
        <v>219</v>
      </c>
      <c r="B48" t="s">
        <v>220</v>
      </c>
      <c r="C48" t="str">
        <f>TEXT(Table1[[#This Row],[Order_Date]],"mmm")</f>
        <v>May</v>
      </c>
      <c r="D48">
        <f>YEAR(Table1[[#This Row],[Order_Date]])</f>
        <v>2025</v>
      </c>
      <c r="E48" t="s">
        <v>55</v>
      </c>
      <c r="F48" t="s">
        <v>188</v>
      </c>
      <c r="G48" t="s">
        <v>116</v>
      </c>
      <c r="H48" t="s">
        <v>221</v>
      </c>
      <c r="I48" t="s">
        <v>87</v>
      </c>
      <c r="J48" t="s">
        <v>88</v>
      </c>
      <c r="K48">
        <v>17</v>
      </c>
      <c r="L48">
        <v>21786</v>
      </c>
      <c r="M48">
        <v>12045</v>
      </c>
      <c r="N48">
        <v>9741</v>
      </c>
      <c r="O48" s="6">
        <f>Table1[[#This Row],[Profit]]/Table1[[#This Row],[Sales_Amount]]</f>
        <v>0.44712200495731202</v>
      </c>
      <c r="P48" t="s">
        <v>121</v>
      </c>
    </row>
    <row r="49" spans="1:16" x14ac:dyDescent="0.35">
      <c r="A49" t="s">
        <v>222</v>
      </c>
      <c r="B49" t="s">
        <v>223</v>
      </c>
      <c r="C49" t="str">
        <f>TEXT(Table1[[#This Row],[Order_Date]],"mmm")</f>
        <v>Aug</v>
      </c>
      <c r="D49">
        <f>YEAR(Table1[[#This Row],[Order_Date]])</f>
        <v>2025</v>
      </c>
      <c r="E49" t="s">
        <v>111</v>
      </c>
      <c r="F49" t="s">
        <v>169</v>
      </c>
      <c r="G49" t="s">
        <v>65</v>
      </c>
      <c r="H49" t="s">
        <v>224</v>
      </c>
      <c r="I49" t="s">
        <v>67</v>
      </c>
      <c r="J49" t="s">
        <v>51</v>
      </c>
      <c r="K49">
        <v>9</v>
      </c>
      <c r="L49">
        <v>105684</v>
      </c>
      <c r="M49">
        <v>54701</v>
      </c>
      <c r="N49">
        <v>50983</v>
      </c>
      <c r="O49" s="6">
        <f>Table1[[#This Row],[Profit]]/Table1[[#This Row],[Sales_Amount]]</f>
        <v>0.48240982551758071</v>
      </c>
      <c r="P49" t="s">
        <v>52</v>
      </c>
    </row>
    <row r="50" spans="1:16" x14ac:dyDescent="0.35">
      <c r="A50" t="s">
        <v>225</v>
      </c>
      <c r="B50" t="s">
        <v>226</v>
      </c>
      <c r="C50" t="str">
        <f>TEXT(Table1[[#This Row],[Order_Date]],"mmm")</f>
        <v>May</v>
      </c>
      <c r="D50">
        <f>YEAR(Table1[[#This Row],[Order_Date]])</f>
        <v>2025</v>
      </c>
      <c r="E50" t="s">
        <v>46</v>
      </c>
      <c r="F50" t="s">
        <v>47</v>
      </c>
      <c r="G50" t="s">
        <v>116</v>
      </c>
      <c r="H50" t="s">
        <v>227</v>
      </c>
      <c r="I50" t="s">
        <v>67</v>
      </c>
      <c r="J50" t="s">
        <v>51</v>
      </c>
      <c r="K50">
        <v>23</v>
      </c>
      <c r="L50">
        <v>70670</v>
      </c>
      <c r="M50">
        <v>57122</v>
      </c>
      <c r="N50">
        <v>13548</v>
      </c>
      <c r="O50" s="6">
        <f>Table1[[#This Row],[Profit]]/Table1[[#This Row],[Sales_Amount]]</f>
        <v>0.19170793830479693</v>
      </c>
      <c r="P50" t="s">
        <v>60</v>
      </c>
    </row>
    <row r="51" spans="1:16" x14ac:dyDescent="0.35">
      <c r="A51" t="s">
        <v>228</v>
      </c>
      <c r="B51" t="s">
        <v>229</v>
      </c>
      <c r="C51" t="str">
        <f>TEXT(Table1[[#This Row],[Order_Date]],"mmm")</f>
        <v>Sep</v>
      </c>
      <c r="D51">
        <f>YEAR(Table1[[#This Row],[Order_Date]])</f>
        <v>2025</v>
      </c>
      <c r="E51" t="s">
        <v>46</v>
      </c>
      <c r="F51" t="s">
        <v>47</v>
      </c>
      <c r="G51" t="s">
        <v>128</v>
      </c>
      <c r="H51" t="s">
        <v>230</v>
      </c>
      <c r="I51" t="s">
        <v>156</v>
      </c>
      <c r="J51" t="s">
        <v>157</v>
      </c>
      <c r="K51">
        <v>1</v>
      </c>
      <c r="L51">
        <v>92888</v>
      </c>
      <c r="M51">
        <v>69121</v>
      </c>
      <c r="N51">
        <v>23767</v>
      </c>
      <c r="O51" s="6">
        <f>Table1[[#This Row],[Profit]]/Table1[[#This Row],[Sales_Amount]]</f>
        <v>0.25586728102661271</v>
      </c>
      <c r="P51" t="s">
        <v>121</v>
      </c>
    </row>
    <row r="52" spans="1:16" x14ac:dyDescent="0.35">
      <c r="A52" t="s">
        <v>231</v>
      </c>
      <c r="B52" t="s">
        <v>232</v>
      </c>
      <c r="C52" t="str">
        <f>TEXT(Table1[[#This Row],[Order_Date]],"mmm")</f>
        <v>Mar</v>
      </c>
      <c r="D52">
        <f>YEAR(Table1[[#This Row],[Order_Date]])</f>
        <v>2025</v>
      </c>
      <c r="E52" t="s">
        <v>63</v>
      </c>
      <c r="F52" t="s">
        <v>64</v>
      </c>
      <c r="G52" t="s">
        <v>128</v>
      </c>
      <c r="H52" t="s">
        <v>233</v>
      </c>
      <c r="I52" t="s">
        <v>50</v>
      </c>
      <c r="J52" t="s">
        <v>51</v>
      </c>
      <c r="K52">
        <v>14</v>
      </c>
      <c r="L52">
        <v>111546</v>
      </c>
      <c r="M52">
        <v>70321</v>
      </c>
      <c r="N52">
        <v>41225</v>
      </c>
      <c r="O52" s="6">
        <f>Table1[[#This Row],[Profit]]/Table1[[#This Row],[Sales_Amount]]</f>
        <v>0.369578469868933</v>
      </c>
      <c r="P52" t="s">
        <v>60</v>
      </c>
    </row>
    <row r="53" spans="1:16" x14ac:dyDescent="0.35">
      <c r="A53" t="s">
        <v>234</v>
      </c>
      <c r="B53" t="s">
        <v>235</v>
      </c>
      <c r="C53" t="str">
        <f>TEXT(Table1[[#This Row],[Order_Date]],"mmm")</f>
        <v>Mar</v>
      </c>
      <c r="D53">
        <f>YEAR(Table1[[#This Row],[Order_Date]])</f>
        <v>2025</v>
      </c>
      <c r="E53" t="s">
        <v>111</v>
      </c>
      <c r="F53" t="s">
        <v>169</v>
      </c>
      <c r="G53" t="s">
        <v>48</v>
      </c>
      <c r="H53" t="s">
        <v>236</v>
      </c>
      <c r="I53" t="s">
        <v>125</v>
      </c>
      <c r="J53" t="s">
        <v>83</v>
      </c>
      <c r="K53">
        <v>15</v>
      </c>
      <c r="L53">
        <v>33965</v>
      </c>
      <c r="M53">
        <v>25027</v>
      </c>
      <c r="N53">
        <v>8938</v>
      </c>
      <c r="O53" s="6">
        <f>Table1[[#This Row],[Profit]]/Table1[[#This Row],[Sales_Amount]]</f>
        <v>0.26315324598851758</v>
      </c>
      <c r="P53" t="s">
        <v>52</v>
      </c>
    </row>
    <row r="54" spans="1:16" x14ac:dyDescent="0.35">
      <c r="A54" t="s">
        <v>237</v>
      </c>
      <c r="B54" t="s">
        <v>238</v>
      </c>
      <c r="C54" t="str">
        <f>TEXT(Table1[[#This Row],[Order_Date]],"mmm")</f>
        <v>Sep</v>
      </c>
      <c r="D54">
        <f>YEAR(Table1[[#This Row],[Order_Date]])</f>
        <v>2025</v>
      </c>
      <c r="E54" t="s">
        <v>63</v>
      </c>
      <c r="F54" t="s">
        <v>104</v>
      </c>
      <c r="G54" t="s">
        <v>70</v>
      </c>
      <c r="H54" t="s">
        <v>239</v>
      </c>
      <c r="I54" t="s">
        <v>87</v>
      </c>
      <c r="J54" t="s">
        <v>88</v>
      </c>
      <c r="K54">
        <v>6</v>
      </c>
      <c r="L54">
        <v>100364</v>
      </c>
      <c r="M54">
        <v>55749</v>
      </c>
      <c r="N54">
        <v>44615</v>
      </c>
      <c r="O54" s="6">
        <f>Table1[[#This Row],[Profit]]/Table1[[#This Row],[Sales_Amount]]</f>
        <v>0.44453190386991354</v>
      </c>
      <c r="P54" t="s">
        <v>121</v>
      </c>
    </row>
    <row r="55" spans="1:16" x14ac:dyDescent="0.35">
      <c r="A55" t="s">
        <v>240</v>
      </c>
      <c r="B55" t="s">
        <v>241</v>
      </c>
      <c r="C55" t="str">
        <f>TEXT(Table1[[#This Row],[Order_Date]],"mmm")</f>
        <v>May</v>
      </c>
      <c r="D55">
        <f>YEAR(Table1[[#This Row],[Order_Date]])</f>
        <v>2025</v>
      </c>
      <c r="E55" t="s">
        <v>55</v>
      </c>
      <c r="F55" t="s">
        <v>56</v>
      </c>
      <c r="G55" t="s">
        <v>138</v>
      </c>
      <c r="H55" t="s">
        <v>242</v>
      </c>
      <c r="I55" t="s">
        <v>67</v>
      </c>
      <c r="J55" t="s">
        <v>51</v>
      </c>
      <c r="K55">
        <v>6</v>
      </c>
      <c r="L55">
        <v>42522</v>
      </c>
      <c r="M55">
        <v>23659</v>
      </c>
      <c r="N55">
        <v>18863</v>
      </c>
      <c r="O55" s="6">
        <f>Table1[[#This Row],[Profit]]/Table1[[#This Row],[Sales_Amount]]</f>
        <v>0.44360566295094306</v>
      </c>
      <c r="P55" t="s">
        <v>121</v>
      </c>
    </row>
    <row r="56" spans="1:16" x14ac:dyDescent="0.35">
      <c r="A56" t="s">
        <v>243</v>
      </c>
      <c r="B56" t="s">
        <v>148</v>
      </c>
      <c r="C56" t="str">
        <f>TEXT(Table1[[#This Row],[Order_Date]],"mmm")</f>
        <v>Feb</v>
      </c>
      <c r="D56">
        <f>YEAR(Table1[[#This Row],[Order_Date]])</f>
        <v>2025</v>
      </c>
      <c r="E56" t="s">
        <v>111</v>
      </c>
      <c r="F56" t="s">
        <v>169</v>
      </c>
      <c r="G56" t="s">
        <v>48</v>
      </c>
      <c r="H56" t="s">
        <v>244</v>
      </c>
      <c r="I56" t="s">
        <v>87</v>
      </c>
      <c r="J56" t="s">
        <v>88</v>
      </c>
      <c r="K56">
        <v>11</v>
      </c>
      <c r="L56">
        <v>48056</v>
      </c>
      <c r="M56">
        <v>34193</v>
      </c>
      <c r="N56">
        <v>13863</v>
      </c>
      <c r="O56" s="6">
        <f>Table1[[#This Row],[Profit]]/Table1[[#This Row],[Sales_Amount]]</f>
        <v>0.28847594473114702</v>
      </c>
      <c r="P56" t="s">
        <v>60</v>
      </c>
    </row>
    <row r="57" spans="1:16" x14ac:dyDescent="0.35">
      <c r="A57" t="s">
        <v>245</v>
      </c>
      <c r="B57" t="s">
        <v>246</v>
      </c>
      <c r="C57" t="str">
        <f>TEXT(Table1[[#This Row],[Order_Date]],"mmm")</f>
        <v>Nov</v>
      </c>
      <c r="D57">
        <f>YEAR(Table1[[#This Row],[Order_Date]])</f>
        <v>2025</v>
      </c>
      <c r="E57" t="s">
        <v>46</v>
      </c>
      <c r="F57" t="s">
        <v>47</v>
      </c>
      <c r="G57" t="s">
        <v>138</v>
      </c>
      <c r="H57" t="s">
        <v>247</v>
      </c>
      <c r="I57" t="s">
        <v>82</v>
      </c>
      <c r="J57" t="s">
        <v>83</v>
      </c>
      <c r="K57">
        <v>19</v>
      </c>
      <c r="L57">
        <v>59695</v>
      </c>
      <c r="M57">
        <v>39549</v>
      </c>
      <c r="N57">
        <v>20146</v>
      </c>
      <c r="O57" s="6">
        <f>Table1[[#This Row],[Profit]]/Table1[[#This Row],[Sales_Amount]]</f>
        <v>0.33748220118937933</v>
      </c>
      <c r="P57" t="s">
        <v>52</v>
      </c>
    </row>
    <row r="58" spans="1:16" x14ac:dyDescent="0.35">
      <c r="A58" t="s">
        <v>248</v>
      </c>
      <c r="B58" t="s">
        <v>249</v>
      </c>
      <c r="C58" t="str">
        <f>TEXT(Table1[[#This Row],[Order_Date]],"mmm")</f>
        <v>Apr</v>
      </c>
      <c r="D58">
        <f>YEAR(Table1[[#This Row],[Order_Date]])</f>
        <v>2025</v>
      </c>
      <c r="E58" t="s">
        <v>46</v>
      </c>
      <c r="F58" t="s">
        <v>74</v>
      </c>
      <c r="G58" t="s">
        <v>48</v>
      </c>
      <c r="H58" t="s">
        <v>250</v>
      </c>
      <c r="I58" t="s">
        <v>50</v>
      </c>
      <c r="J58" t="s">
        <v>51</v>
      </c>
      <c r="K58">
        <v>6</v>
      </c>
      <c r="L58">
        <v>44269</v>
      </c>
      <c r="M58">
        <v>28888</v>
      </c>
      <c r="N58">
        <v>15381</v>
      </c>
      <c r="O58" s="6">
        <f>Table1[[#This Row],[Profit]]/Table1[[#This Row],[Sales_Amount]]</f>
        <v>0.34744403532946305</v>
      </c>
      <c r="P58" t="s">
        <v>121</v>
      </c>
    </row>
    <row r="59" spans="1:16" x14ac:dyDescent="0.35">
      <c r="A59" t="s">
        <v>251</v>
      </c>
      <c r="B59" t="s">
        <v>127</v>
      </c>
      <c r="C59" t="str">
        <f>TEXT(Table1[[#This Row],[Order_Date]],"mmm")</f>
        <v>Apr</v>
      </c>
      <c r="D59">
        <f>YEAR(Table1[[#This Row],[Order_Date]])</f>
        <v>2025</v>
      </c>
      <c r="E59" t="s">
        <v>63</v>
      </c>
      <c r="F59" t="s">
        <v>64</v>
      </c>
      <c r="G59" t="s">
        <v>57</v>
      </c>
      <c r="H59" t="s">
        <v>252</v>
      </c>
      <c r="I59" t="s">
        <v>50</v>
      </c>
      <c r="J59" t="s">
        <v>51</v>
      </c>
      <c r="K59">
        <v>10</v>
      </c>
      <c r="L59">
        <v>81205</v>
      </c>
      <c r="M59">
        <v>52054</v>
      </c>
      <c r="N59">
        <v>29151</v>
      </c>
      <c r="O59" s="6">
        <f>Table1[[#This Row],[Profit]]/Table1[[#This Row],[Sales_Amount]]</f>
        <v>0.35898035835231823</v>
      </c>
      <c r="P59" t="s">
        <v>98</v>
      </c>
    </row>
    <row r="60" spans="1:16" x14ac:dyDescent="0.35">
      <c r="A60" t="s">
        <v>253</v>
      </c>
      <c r="B60" t="s">
        <v>69</v>
      </c>
      <c r="C60" t="str">
        <f>TEXT(Table1[[#This Row],[Order_Date]],"mmm")</f>
        <v>Feb</v>
      </c>
      <c r="D60">
        <f>YEAR(Table1[[#This Row],[Order_Date]])</f>
        <v>2025</v>
      </c>
      <c r="E60" t="s">
        <v>46</v>
      </c>
      <c r="F60" t="s">
        <v>47</v>
      </c>
      <c r="G60" t="s">
        <v>70</v>
      </c>
      <c r="H60" t="s">
        <v>254</v>
      </c>
      <c r="I60" t="s">
        <v>87</v>
      </c>
      <c r="J60" t="s">
        <v>88</v>
      </c>
      <c r="K60">
        <v>9</v>
      </c>
      <c r="L60">
        <v>75692</v>
      </c>
      <c r="M60">
        <v>45047</v>
      </c>
      <c r="N60">
        <v>30645</v>
      </c>
      <c r="O60" s="6">
        <f>Table1[[#This Row],[Profit]]/Table1[[#This Row],[Sales_Amount]]</f>
        <v>0.40486445066849863</v>
      </c>
      <c r="P60" t="s">
        <v>52</v>
      </c>
    </row>
    <row r="61" spans="1:16" x14ac:dyDescent="0.35">
      <c r="A61" t="s">
        <v>255</v>
      </c>
      <c r="B61" t="s">
        <v>256</v>
      </c>
      <c r="C61" t="str">
        <f>TEXT(Table1[[#This Row],[Order_Date]],"mmm")</f>
        <v>Jun</v>
      </c>
      <c r="D61">
        <f>YEAR(Table1[[#This Row],[Order_Date]])</f>
        <v>2025</v>
      </c>
      <c r="E61" t="s">
        <v>46</v>
      </c>
      <c r="F61" t="s">
        <v>74</v>
      </c>
      <c r="G61" t="s">
        <v>65</v>
      </c>
      <c r="H61" t="s">
        <v>257</v>
      </c>
      <c r="I61" t="s">
        <v>87</v>
      </c>
      <c r="J61" t="s">
        <v>88</v>
      </c>
      <c r="K61">
        <v>13</v>
      </c>
      <c r="L61">
        <v>61838</v>
      </c>
      <c r="M61">
        <v>29440</v>
      </c>
      <c r="N61">
        <v>32398</v>
      </c>
      <c r="O61" s="6">
        <f>Table1[[#This Row],[Profit]]/Table1[[#This Row],[Sales_Amount]]</f>
        <v>0.52391733238461791</v>
      </c>
      <c r="P61" t="s">
        <v>98</v>
      </c>
    </row>
    <row r="62" spans="1:16" x14ac:dyDescent="0.35">
      <c r="A62" t="s">
        <v>258</v>
      </c>
      <c r="B62" t="s">
        <v>259</v>
      </c>
      <c r="C62" t="str">
        <f>TEXT(Table1[[#This Row],[Order_Date]],"mmm")</f>
        <v>Nov</v>
      </c>
      <c r="D62">
        <f>YEAR(Table1[[#This Row],[Order_Date]])</f>
        <v>2025</v>
      </c>
      <c r="E62" t="s">
        <v>55</v>
      </c>
      <c r="F62" t="s">
        <v>188</v>
      </c>
      <c r="G62" t="s">
        <v>128</v>
      </c>
      <c r="H62" t="s">
        <v>260</v>
      </c>
      <c r="I62" t="s">
        <v>59</v>
      </c>
      <c r="J62" t="s">
        <v>51</v>
      </c>
      <c r="K62">
        <v>19</v>
      </c>
      <c r="L62">
        <v>102654</v>
      </c>
      <c r="M62">
        <v>49106</v>
      </c>
      <c r="N62">
        <v>53548</v>
      </c>
      <c r="O62" s="6">
        <f>Table1[[#This Row],[Profit]]/Table1[[#This Row],[Sales_Amount]]</f>
        <v>0.52163578623336648</v>
      </c>
      <c r="P62" t="s">
        <v>121</v>
      </c>
    </row>
    <row r="63" spans="1:16" x14ac:dyDescent="0.35">
      <c r="A63" t="s">
        <v>261</v>
      </c>
      <c r="B63" t="s">
        <v>262</v>
      </c>
      <c r="C63" t="str">
        <f>TEXT(Table1[[#This Row],[Order_Date]],"mmm")</f>
        <v>Mar</v>
      </c>
      <c r="D63">
        <f>YEAR(Table1[[#This Row],[Order_Date]])</f>
        <v>2025</v>
      </c>
      <c r="E63" t="s">
        <v>111</v>
      </c>
      <c r="F63" t="s">
        <v>169</v>
      </c>
      <c r="G63" t="s">
        <v>70</v>
      </c>
      <c r="H63" t="s">
        <v>263</v>
      </c>
      <c r="I63" t="s">
        <v>76</v>
      </c>
      <c r="J63" t="s">
        <v>77</v>
      </c>
      <c r="K63">
        <v>6</v>
      </c>
      <c r="L63">
        <v>24882</v>
      </c>
      <c r="M63">
        <v>11832</v>
      </c>
      <c r="N63">
        <v>13050</v>
      </c>
      <c r="O63" s="6">
        <f>Table1[[#This Row],[Profit]]/Table1[[#This Row],[Sales_Amount]]</f>
        <v>0.52447552447552448</v>
      </c>
      <c r="P63" t="s">
        <v>98</v>
      </c>
    </row>
    <row r="64" spans="1:16" x14ac:dyDescent="0.35">
      <c r="A64" t="s">
        <v>264</v>
      </c>
      <c r="B64" t="s">
        <v>265</v>
      </c>
      <c r="C64" t="str">
        <f>TEXT(Table1[[#This Row],[Order_Date]],"mmm")</f>
        <v>Aug</v>
      </c>
      <c r="D64">
        <f>YEAR(Table1[[#This Row],[Order_Date]])</f>
        <v>2025</v>
      </c>
      <c r="E64" t="s">
        <v>46</v>
      </c>
      <c r="F64" t="s">
        <v>47</v>
      </c>
      <c r="G64" t="s">
        <v>57</v>
      </c>
      <c r="H64" t="s">
        <v>266</v>
      </c>
      <c r="I64" t="s">
        <v>125</v>
      </c>
      <c r="J64" t="s">
        <v>83</v>
      </c>
      <c r="K64">
        <v>14</v>
      </c>
      <c r="L64">
        <v>29263</v>
      </c>
      <c r="M64">
        <v>15338</v>
      </c>
      <c r="N64">
        <v>13925</v>
      </c>
      <c r="O64" s="6">
        <f>Table1[[#This Row],[Profit]]/Table1[[#This Row],[Sales_Amount]]</f>
        <v>0.47585688411987836</v>
      </c>
      <c r="P64" t="s">
        <v>60</v>
      </c>
    </row>
    <row r="65" spans="1:16" x14ac:dyDescent="0.35">
      <c r="A65" t="s">
        <v>267</v>
      </c>
      <c r="B65" t="s">
        <v>268</v>
      </c>
      <c r="C65" t="str">
        <f>TEXT(Table1[[#This Row],[Order_Date]],"mmm")</f>
        <v>Oct</v>
      </c>
      <c r="D65">
        <f>YEAR(Table1[[#This Row],[Order_Date]])</f>
        <v>2025</v>
      </c>
      <c r="E65" t="s">
        <v>46</v>
      </c>
      <c r="F65" t="s">
        <v>47</v>
      </c>
      <c r="G65" t="s">
        <v>128</v>
      </c>
      <c r="H65" t="s">
        <v>269</v>
      </c>
      <c r="I65" t="s">
        <v>156</v>
      </c>
      <c r="J65" t="s">
        <v>157</v>
      </c>
      <c r="K65">
        <v>9</v>
      </c>
      <c r="L65">
        <v>74015</v>
      </c>
      <c r="M65">
        <v>44017</v>
      </c>
      <c r="N65">
        <v>29998</v>
      </c>
      <c r="O65" s="6">
        <f>Table1[[#This Row],[Profit]]/Table1[[#This Row],[Sales_Amount]]</f>
        <v>0.40529622373843138</v>
      </c>
      <c r="P65" t="s">
        <v>121</v>
      </c>
    </row>
    <row r="66" spans="1:16" x14ac:dyDescent="0.35">
      <c r="A66" t="s">
        <v>270</v>
      </c>
      <c r="B66" t="s">
        <v>271</v>
      </c>
      <c r="C66" t="str">
        <f>TEXT(Table1[[#This Row],[Order_Date]],"mmm")</f>
        <v>Aug</v>
      </c>
      <c r="D66">
        <f>YEAR(Table1[[#This Row],[Order_Date]])</f>
        <v>2025</v>
      </c>
      <c r="E66" t="s">
        <v>63</v>
      </c>
      <c r="F66" t="s">
        <v>64</v>
      </c>
      <c r="G66" t="s">
        <v>138</v>
      </c>
      <c r="H66" t="s">
        <v>272</v>
      </c>
      <c r="I66" t="s">
        <v>50</v>
      </c>
      <c r="J66" t="s">
        <v>51</v>
      </c>
      <c r="K66">
        <v>2</v>
      </c>
      <c r="L66">
        <v>18134</v>
      </c>
      <c r="M66">
        <v>12326</v>
      </c>
      <c r="N66">
        <v>5808</v>
      </c>
      <c r="O66" s="6">
        <f>Table1[[#This Row],[Profit]]/Table1[[#This Row],[Sales_Amount]]</f>
        <v>0.32028234256093524</v>
      </c>
      <c r="P66" t="s">
        <v>60</v>
      </c>
    </row>
    <row r="67" spans="1:16" x14ac:dyDescent="0.35">
      <c r="A67" t="s">
        <v>273</v>
      </c>
      <c r="B67" t="s">
        <v>274</v>
      </c>
      <c r="C67" t="str">
        <f>TEXT(Table1[[#This Row],[Order_Date]],"mmm")</f>
        <v>Jul</v>
      </c>
      <c r="D67">
        <f>YEAR(Table1[[#This Row],[Order_Date]])</f>
        <v>2025</v>
      </c>
      <c r="E67" t="s">
        <v>111</v>
      </c>
      <c r="F67" t="s">
        <v>169</v>
      </c>
      <c r="G67" t="s">
        <v>70</v>
      </c>
      <c r="H67" t="s">
        <v>275</v>
      </c>
      <c r="I67" t="s">
        <v>82</v>
      </c>
      <c r="J67" t="s">
        <v>83</v>
      </c>
      <c r="K67">
        <v>14</v>
      </c>
      <c r="L67">
        <v>47975</v>
      </c>
      <c r="M67">
        <v>30105</v>
      </c>
      <c r="N67">
        <v>17870</v>
      </c>
      <c r="O67" s="6">
        <f>Table1[[#This Row],[Profit]]/Table1[[#This Row],[Sales_Amount]]</f>
        <v>0.37248566961959356</v>
      </c>
      <c r="P67" t="s">
        <v>98</v>
      </c>
    </row>
    <row r="68" spans="1:16" x14ac:dyDescent="0.35">
      <c r="A68" t="s">
        <v>276</v>
      </c>
      <c r="B68" t="s">
        <v>277</v>
      </c>
      <c r="C68" t="str">
        <f>TEXT(Table1[[#This Row],[Order_Date]],"mmm")</f>
        <v>May</v>
      </c>
      <c r="D68">
        <f>YEAR(Table1[[#This Row],[Order_Date]])</f>
        <v>2025</v>
      </c>
      <c r="E68" t="s">
        <v>46</v>
      </c>
      <c r="F68" t="s">
        <v>47</v>
      </c>
      <c r="G68" t="s">
        <v>65</v>
      </c>
      <c r="H68" t="s">
        <v>278</v>
      </c>
      <c r="I68" t="s">
        <v>125</v>
      </c>
      <c r="J68" t="s">
        <v>83</v>
      </c>
      <c r="K68">
        <v>9</v>
      </c>
      <c r="L68">
        <v>45917</v>
      </c>
      <c r="M68">
        <v>33093</v>
      </c>
      <c r="N68">
        <v>12824</v>
      </c>
      <c r="O68" s="6">
        <f>Table1[[#This Row],[Profit]]/Table1[[#This Row],[Sales_Amount]]</f>
        <v>0.2792865387547096</v>
      </c>
      <c r="P68" t="s">
        <v>121</v>
      </c>
    </row>
    <row r="69" spans="1:16" x14ac:dyDescent="0.35">
      <c r="A69" t="s">
        <v>279</v>
      </c>
      <c r="B69" t="s">
        <v>271</v>
      </c>
      <c r="C69" t="str">
        <f>TEXT(Table1[[#This Row],[Order_Date]],"mmm")</f>
        <v>Aug</v>
      </c>
      <c r="D69">
        <f>YEAR(Table1[[#This Row],[Order_Date]])</f>
        <v>2025</v>
      </c>
      <c r="E69" t="s">
        <v>63</v>
      </c>
      <c r="F69" t="s">
        <v>64</v>
      </c>
      <c r="G69" t="s">
        <v>116</v>
      </c>
      <c r="H69" t="s">
        <v>280</v>
      </c>
      <c r="I69" t="s">
        <v>67</v>
      </c>
      <c r="J69" t="s">
        <v>51</v>
      </c>
      <c r="K69">
        <v>22</v>
      </c>
      <c r="L69">
        <v>48688</v>
      </c>
      <c r="M69">
        <v>37184</v>
      </c>
      <c r="N69">
        <v>11504</v>
      </c>
      <c r="O69" s="6">
        <f>Table1[[#This Row],[Profit]]/Table1[[#This Row],[Sales_Amount]]</f>
        <v>0.23627998685507723</v>
      </c>
      <c r="P69" t="s">
        <v>98</v>
      </c>
    </row>
    <row r="70" spans="1:16" x14ac:dyDescent="0.35">
      <c r="A70" t="s">
        <v>281</v>
      </c>
      <c r="B70" t="s">
        <v>238</v>
      </c>
      <c r="C70" t="str">
        <f>TEXT(Table1[[#This Row],[Order_Date]],"mmm")</f>
        <v>Sep</v>
      </c>
      <c r="D70">
        <f>YEAR(Table1[[#This Row],[Order_Date]])</f>
        <v>2025</v>
      </c>
      <c r="E70" t="s">
        <v>111</v>
      </c>
      <c r="F70" t="s">
        <v>169</v>
      </c>
      <c r="G70" t="s">
        <v>128</v>
      </c>
      <c r="H70" t="s">
        <v>282</v>
      </c>
      <c r="I70" t="s">
        <v>76</v>
      </c>
      <c r="J70" t="s">
        <v>77</v>
      </c>
      <c r="K70">
        <v>2</v>
      </c>
      <c r="L70">
        <v>10036</v>
      </c>
      <c r="M70">
        <v>5430</v>
      </c>
      <c r="N70">
        <v>4606</v>
      </c>
      <c r="O70" s="6">
        <f>Table1[[#This Row],[Profit]]/Table1[[#This Row],[Sales_Amount]]</f>
        <v>0.45894778796333202</v>
      </c>
      <c r="P70" t="s">
        <v>98</v>
      </c>
    </row>
    <row r="71" spans="1:16" x14ac:dyDescent="0.35">
      <c r="A71" t="s">
        <v>283</v>
      </c>
      <c r="B71" t="s">
        <v>284</v>
      </c>
      <c r="C71" t="str">
        <f>TEXT(Table1[[#This Row],[Order_Date]],"mmm")</f>
        <v>Dec</v>
      </c>
      <c r="D71">
        <f>YEAR(Table1[[#This Row],[Order_Date]])</f>
        <v>2025</v>
      </c>
      <c r="E71" t="s">
        <v>46</v>
      </c>
      <c r="F71" t="s">
        <v>47</v>
      </c>
      <c r="G71" t="s">
        <v>80</v>
      </c>
      <c r="H71" t="s">
        <v>285</v>
      </c>
      <c r="I71" t="s">
        <v>59</v>
      </c>
      <c r="J71" t="s">
        <v>51</v>
      </c>
      <c r="K71">
        <v>14</v>
      </c>
      <c r="L71">
        <v>38408</v>
      </c>
      <c r="M71">
        <v>21471</v>
      </c>
      <c r="N71">
        <v>16937</v>
      </c>
      <c r="O71" s="6">
        <f>Table1[[#This Row],[Profit]]/Table1[[#This Row],[Sales_Amount]]</f>
        <v>0.44097583836700688</v>
      </c>
      <c r="P71" t="s">
        <v>52</v>
      </c>
    </row>
    <row r="72" spans="1:16" x14ac:dyDescent="0.35">
      <c r="A72" t="s">
        <v>286</v>
      </c>
      <c r="B72" t="s">
        <v>287</v>
      </c>
      <c r="C72" t="str">
        <f>TEXT(Table1[[#This Row],[Order_Date]],"mmm")</f>
        <v>Nov</v>
      </c>
      <c r="D72">
        <f>YEAR(Table1[[#This Row],[Order_Date]])</f>
        <v>2025</v>
      </c>
      <c r="E72" t="s">
        <v>111</v>
      </c>
      <c r="F72" t="s">
        <v>112</v>
      </c>
      <c r="G72" t="s">
        <v>80</v>
      </c>
      <c r="H72" t="s">
        <v>288</v>
      </c>
      <c r="I72" t="s">
        <v>125</v>
      </c>
      <c r="J72" t="s">
        <v>83</v>
      </c>
      <c r="K72">
        <v>13</v>
      </c>
      <c r="L72">
        <v>81291</v>
      </c>
      <c r="M72">
        <v>40658</v>
      </c>
      <c r="N72">
        <v>40633</v>
      </c>
      <c r="O72" s="6">
        <f>Table1[[#This Row],[Profit]]/Table1[[#This Row],[Sales_Amount]]</f>
        <v>0.49984623144013485</v>
      </c>
      <c r="P72" t="s">
        <v>121</v>
      </c>
    </row>
    <row r="73" spans="1:16" x14ac:dyDescent="0.35">
      <c r="A73" t="s">
        <v>289</v>
      </c>
      <c r="B73" t="s">
        <v>290</v>
      </c>
      <c r="C73" t="str">
        <f>TEXT(Table1[[#This Row],[Order_Date]],"mmm")</f>
        <v>Jun</v>
      </c>
      <c r="D73">
        <f>YEAR(Table1[[#This Row],[Order_Date]])</f>
        <v>2025</v>
      </c>
      <c r="E73" t="s">
        <v>55</v>
      </c>
      <c r="F73" t="s">
        <v>188</v>
      </c>
      <c r="G73" t="s">
        <v>128</v>
      </c>
      <c r="H73" t="s">
        <v>291</v>
      </c>
      <c r="I73" t="s">
        <v>50</v>
      </c>
      <c r="J73" t="s">
        <v>51</v>
      </c>
      <c r="K73">
        <v>17</v>
      </c>
      <c r="L73">
        <v>103069</v>
      </c>
      <c r="M73">
        <v>55005</v>
      </c>
      <c r="N73">
        <v>48064</v>
      </c>
      <c r="O73" s="6">
        <f>Table1[[#This Row],[Profit]]/Table1[[#This Row],[Sales_Amount]]</f>
        <v>0.46632838195771764</v>
      </c>
      <c r="P73" t="s">
        <v>60</v>
      </c>
    </row>
    <row r="74" spans="1:16" x14ac:dyDescent="0.35">
      <c r="A74" t="s">
        <v>292</v>
      </c>
      <c r="B74" t="s">
        <v>293</v>
      </c>
      <c r="C74" t="str">
        <f>TEXT(Table1[[#This Row],[Order_Date]],"mmm")</f>
        <v>Sep</v>
      </c>
      <c r="D74">
        <f>YEAR(Table1[[#This Row],[Order_Date]])</f>
        <v>2025</v>
      </c>
      <c r="E74" t="s">
        <v>111</v>
      </c>
      <c r="F74" t="s">
        <v>169</v>
      </c>
      <c r="G74" t="s">
        <v>80</v>
      </c>
      <c r="H74" t="s">
        <v>294</v>
      </c>
      <c r="I74" t="s">
        <v>156</v>
      </c>
      <c r="J74" t="s">
        <v>157</v>
      </c>
      <c r="K74">
        <v>23</v>
      </c>
      <c r="L74">
        <v>110739</v>
      </c>
      <c r="M74">
        <v>70237</v>
      </c>
      <c r="N74">
        <v>40502</v>
      </c>
      <c r="O74" s="6">
        <f>Table1[[#This Row],[Profit]]/Table1[[#This Row],[Sales_Amount]]</f>
        <v>0.36574287288127938</v>
      </c>
      <c r="P74" t="s">
        <v>52</v>
      </c>
    </row>
    <row r="75" spans="1:16" x14ac:dyDescent="0.35">
      <c r="A75" t="s">
        <v>295</v>
      </c>
      <c r="B75" t="s">
        <v>296</v>
      </c>
      <c r="C75" t="str">
        <f>TEXT(Table1[[#This Row],[Order_Date]],"mmm")</f>
        <v>Jan</v>
      </c>
      <c r="D75">
        <f>YEAR(Table1[[#This Row],[Order_Date]])</f>
        <v>2025</v>
      </c>
      <c r="E75" t="s">
        <v>63</v>
      </c>
      <c r="F75" t="s">
        <v>104</v>
      </c>
      <c r="G75" t="s">
        <v>57</v>
      </c>
      <c r="H75" t="s">
        <v>297</v>
      </c>
      <c r="I75" t="s">
        <v>87</v>
      </c>
      <c r="J75" t="s">
        <v>88</v>
      </c>
      <c r="K75">
        <v>24</v>
      </c>
      <c r="L75">
        <v>19367</v>
      </c>
      <c r="M75">
        <v>10903</v>
      </c>
      <c r="N75">
        <v>8464</v>
      </c>
      <c r="O75" s="6">
        <f>Table1[[#This Row],[Profit]]/Table1[[#This Row],[Sales_Amount]]</f>
        <v>0.43703206485258428</v>
      </c>
      <c r="P75" t="s">
        <v>98</v>
      </c>
    </row>
    <row r="76" spans="1:16" x14ac:dyDescent="0.35">
      <c r="A76" t="s">
        <v>298</v>
      </c>
      <c r="B76" t="s">
        <v>299</v>
      </c>
      <c r="C76" t="str">
        <f>TEXT(Table1[[#This Row],[Order_Date]],"mmm")</f>
        <v>Mar</v>
      </c>
      <c r="D76">
        <f>YEAR(Table1[[#This Row],[Order_Date]])</f>
        <v>2025</v>
      </c>
      <c r="E76" t="s">
        <v>111</v>
      </c>
      <c r="F76" t="s">
        <v>169</v>
      </c>
      <c r="G76" t="s">
        <v>138</v>
      </c>
      <c r="H76" t="s">
        <v>300</v>
      </c>
      <c r="I76" t="s">
        <v>143</v>
      </c>
      <c r="J76" t="s">
        <v>51</v>
      </c>
      <c r="K76">
        <v>16</v>
      </c>
      <c r="L76">
        <v>56232</v>
      </c>
      <c r="M76">
        <v>38292</v>
      </c>
      <c r="N76">
        <v>17940</v>
      </c>
      <c r="O76" s="6">
        <f>Table1[[#This Row],[Profit]]/Table1[[#This Row],[Sales_Amount]]</f>
        <v>0.31903542466922746</v>
      </c>
      <c r="P76" t="s">
        <v>121</v>
      </c>
    </row>
    <row r="77" spans="1:16" x14ac:dyDescent="0.35">
      <c r="A77" t="s">
        <v>301</v>
      </c>
      <c r="B77" t="s">
        <v>302</v>
      </c>
      <c r="C77" t="str">
        <f>TEXT(Table1[[#This Row],[Order_Date]],"mmm")</f>
        <v>Dec</v>
      </c>
      <c r="D77">
        <f>YEAR(Table1[[#This Row],[Order_Date]])</f>
        <v>2025</v>
      </c>
      <c r="E77" t="s">
        <v>63</v>
      </c>
      <c r="F77" t="s">
        <v>64</v>
      </c>
      <c r="G77" t="s">
        <v>65</v>
      </c>
      <c r="H77" t="s">
        <v>303</v>
      </c>
      <c r="I77" t="s">
        <v>67</v>
      </c>
      <c r="J77" t="s">
        <v>51</v>
      </c>
      <c r="K77">
        <v>20</v>
      </c>
      <c r="L77">
        <v>68941</v>
      </c>
      <c r="M77">
        <v>49267</v>
      </c>
      <c r="N77">
        <v>19674</v>
      </c>
      <c r="O77" s="6">
        <f>Table1[[#This Row],[Profit]]/Table1[[#This Row],[Sales_Amount]]</f>
        <v>0.28537445061719441</v>
      </c>
      <c r="P77" t="s">
        <v>52</v>
      </c>
    </row>
    <row r="78" spans="1:16" x14ac:dyDescent="0.35">
      <c r="A78" t="s">
        <v>304</v>
      </c>
      <c r="B78" t="s">
        <v>203</v>
      </c>
      <c r="C78" t="str">
        <f>TEXT(Table1[[#This Row],[Order_Date]],"mmm")</f>
        <v>Sep</v>
      </c>
      <c r="D78">
        <f>YEAR(Table1[[#This Row],[Order_Date]])</f>
        <v>2025</v>
      </c>
      <c r="E78" t="s">
        <v>55</v>
      </c>
      <c r="F78" t="s">
        <v>56</v>
      </c>
      <c r="G78" t="s">
        <v>116</v>
      </c>
      <c r="H78" t="s">
        <v>305</v>
      </c>
      <c r="I78" t="s">
        <v>156</v>
      </c>
      <c r="J78" t="s">
        <v>157</v>
      </c>
      <c r="K78">
        <v>4</v>
      </c>
      <c r="L78">
        <v>53930</v>
      </c>
      <c r="M78">
        <v>33101</v>
      </c>
      <c r="N78">
        <v>20829</v>
      </c>
      <c r="O78" s="6">
        <f>Table1[[#This Row],[Profit]]/Table1[[#This Row],[Sales_Amount]]</f>
        <v>0.38622288151307249</v>
      </c>
      <c r="P78" t="s">
        <v>121</v>
      </c>
    </row>
    <row r="79" spans="1:16" x14ac:dyDescent="0.35">
      <c r="A79" t="s">
        <v>306</v>
      </c>
      <c r="B79" t="s">
        <v>307</v>
      </c>
      <c r="C79" t="str">
        <f>TEXT(Table1[[#This Row],[Order_Date]],"mmm")</f>
        <v>May</v>
      </c>
      <c r="D79">
        <f>YEAR(Table1[[#This Row],[Order_Date]])</f>
        <v>2025</v>
      </c>
      <c r="E79" t="s">
        <v>46</v>
      </c>
      <c r="F79" t="s">
        <v>74</v>
      </c>
      <c r="G79" t="s">
        <v>128</v>
      </c>
      <c r="H79" t="s">
        <v>308</v>
      </c>
      <c r="I79" t="s">
        <v>67</v>
      </c>
      <c r="J79" t="s">
        <v>51</v>
      </c>
      <c r="K79">
        <v>18</v>
      </c>
      <c r="L79">
        <v>77060</v>
      </c>
      <c r="M79">
        <v>52478</v>
      </c>
      <c r="N79">
        <v>24582</v>
      </c>
      <c r="O79" s="6">
        <f>Table1[[#This Row],[Profit]]/Table1[[#This Row],[Sales_Amount]]</f>
        <v>0.31899818323384377</v>
      </c>
      <c r="P79" t="s">
        <v>121</v>
      </c>
    </row>
    <row r="80" spans="1:16" x14ac:dyDescent="0.35">
      <c r="A80" t="s">
        <v>309</v>
      </c>
      <c r="B80" t="s">
        <v>310</v>
      </c>
      <c r="C80" t="str">
        <f>TEXT(Table1[[#This Row],[Order_Date]],"mmm")</f>
        <v>Apr</v>
      </c>
      <c r="D80">
        <f>YEAR(Table1[[#This Row],[Order_Date]])</f>
        <v>2025</v>
      </c>
      <c r="E80" t="s">
        <v>46</v>
      </c>
      <c r="F80" t="s">
        <v>74</v>
      </c>
      <c r="G80" t="s">
        <v>80</v>
      </c>
      <c r="H80" t="s">
        <v>311</v>
      </c>
      <c r="I80" t="s">
        <v>82</v>
      </c>
      <c r="J80" t="s">
        <v>83</v>
      </c>
      <c r="K80">
        <v>19</v>
      </c>
      <c r="L80">
        <v>41636</v>
      </c>
      <c r="M80">
        <v>30113</v>
      </c>
      <c r="N80">
        <v>11523</v>
      </c>
      <c r="O80" s="6">
        <f>Table1[[#This Row],[Profit]]/Table1[[#This Row],[Sales_Amount]]</f>
        <v>0.27675569218945145</v>
      </c>
      <c r="P80" t="s">
        <v>52</v>
      </c>
    </row>
    <row r="81" spans="1:16" x14ac:dyDescent="0.35">
      <c r="A81" t="s">
        <v>312</v>
      </c>
      <c r="B81" t="s">
        <v>313</v>
      </c>
      <c r="C81" t="str">
        <f>TEXT(Table1[[#This Row],[Order_Date]],"mmm")</f>
        <v>Mar</v>
      </c>
      <c r="D81">
        <f>YEAR(Table1[[#This Row],[Order_Date]])</f>
        <v>2025</v>
      </c>
      <c r="E81" t="s">
        <v>55</v>
      </c>
      <c r="F81" t="s">
        <v>188</v>
      </c>
      <c r="G81" t="s">
        <v>65</v>
      </c>
      <c r="H81" t="s">
        <v>314</v>
      </c>
      <c r="I81" t="s">
        <v>50</v>
      </c>
      <c r="J81" t="s">
        <v>51</v>
      </c>
      <c r="K81">
        <v>22</v>
      </c>
      <c r="L81">
        <v>75547</v>
      </c>
      <c r="M81">
        <v>54654</v>
      </c>
      <c r="N81">
        <v>20893</v>
      </c>
      <c r="O81" s="6">
        <f>Table1[[#This Row],[Profit]]/Table1[[#This Row],[Sales_Amount]]</f>
        <v>0.27655631593577507</v>
      </c>
      <c r="P81" t="s">
        <v>121</v>
      </c>
    </row>
    <row r="82" spans="1:16" x14ac:dyDescent="0.35">
      <c r="A82" t="s">
        <v>315</v>
      </c>
      <c r="B82" t="s">
        <v>316</v>
      </c>
      <c r="C82" t="str">
        <f>TEXT(Table1[[#This Row],[Order_Date]],"mmm")</f>
        <v>Mar</v>
      </c>
      <c r="D82">
        <f>YEAR(Table1[[#This Row],[Order_Date]])</f>
        <v>2025</v>
      </c>
      <c r="E82" t="s">
        <v>46</v>
      </c>
      <c r="F82" t="s">
        <v>47</v>
      </c>
      <c r="G82" t="s">
        <v>80</v>
      </c>
      <c r="H82" t="s">
        <v>317</v>
      </c>
      <c r="I82" t="s">
        <v>156</v>
      </c>
      <c r="J82" t="s">
        <v>157</v>
      </c>
      <c r="K82">
        <v>6</v>
      </c>
      <c r="L82">
        <v>55175</v>
      </c>
      <c r="M82">
        <v>28455</v>
      </c>
      <c r="N82">
        <v>26720</v>
      </c>
      <c r="O82" s="6">
        <f>Table1[[#This Row],[Profit]]/Table1[[#This Row],[Sales_Amount]]</f>
        <v>0.48427729950158588</v>
      </c>
      <c r="P82" t="s">
        <v>60</v>
      </c>
    </row>
    <row r="83" spans="1:16" x14ac:dyDescent="0.35">
      <c r="A83" t="s">
        <v>318</v>
      </c>
      <c r="B83" t="s">
        <v>145</v>
      </c>
      <c r="C83" t="str">
        <f>TEXT(Table1[[#This Row],[Order_Date]],"mmm")</f>
        <v>Aug</v>
      </c>
      <c r="D83">
        <f>YEAR(Table1[[#This Row],[Order_Date]])</f>
        <v>2025</v>
      </c>
      <c r="E83" t="s">
        <v>46</v>
      </c>
      <c r="F83" t="s">
        <v>47</v>
      </c>
      <c r="G83" t="s">
        <v>138</v>
      </c>
      <c r="H83" t="s">
        <v>319</v>
      </c>
      <c r="I83" t="s">
        <v>76</v>
      </c>
      <c r="J83" t="s">
        <v>77</v>
      </c>
      <c r="K83">
        <v>9</v>
      </c>
      <c r="L83">
        <v>100618</v>
      </c>
      <c r="M83">
        <v>80073</v>
      </c>
      <c r="N83">
        <v>20545</v>
      </c>
      <c r="O83" s="6">
        <f>Table1[[#This Row],[Profit]]/Table1[[#This Row],[Sales_Amount]]</f>
        <v>0.2041881174342563</v>
      </c>
      <c r="P83" t="s">
        <v>121</v>
      </c>
    </row>
    <row r="84" spans="1:16" x14ac:dyDescent="0.35">
      <c r="A84" t="s">
        <v>320</v>
      </c>
      <c r="B84" t="s">
        <v>321</v>
      </c>
      <c r="C84" t="str">
        <f>TEXT(Table1[[#This Row],[Order_Date]],"mmm")</f>
        <v>Dec</v>
      </c>
      <c r="D84">
        <f>YEAR(Table1[[#This Row],[Order_Date]])</f>
        <v>2025</v>
      </c>
      <c r="E84" t="s">
        <v>63</v>
      </c>
      <c r="F84" t="s">
        <v>104</v>
      </c>
      <c r="G84" t="s">
        <v>116</v>
      </c>
      <c r="H84" t="s">
        <v>322</v>
      </c>
      <c r="I84" t="s">
        <v>82</v>
      </c>
      <c r="J84" t="s">
        <v>83</v>
      </c>
      <c r="K84">
        <v>2</v>
      </c>
      <c r="L84">
        <v>17186</v>
      </c>
      <c r="M84">
        <v>11822</v>
      </c>
      <c r="N84">
        <v>5364</v>
      </c>
      <c r="O84" s="6">
        <f>Table1[[#This Row],[Profit]]/Table1[[#This Row],[Sales_Amount]]</f>
        <v>0.31211451181193994</v>
      </c>
      <c r="P84" t="s">
        <v>52</v>
      </c>
    </row>
    <row r="85" spans="1:16" x14ac:dyDescent="0.35">
      <c r="A85" t="s">
        <v>323</v>
      </c>
      <c r="B85" t="s">
        <v>324</v>
      </c>
      <c r="C85" t="str">
        <f>TEXT(Table1[[#This Row],[Order_Date]],"mmm")</f>
        <v>Oct</v>
      </c>
      <c r="D85">
        <f>YEAR(Table1[[#This Row],[Order_Date]])</f>
        <v>2025</v>
      </c>
      <c r="E85" t="s">
        <v>55</v>
      </c>
      <c r="F85" t="s">
        <v>188</v>
      </c>
      <c r="G85" t="s">
        <v>65</v>
      </c>
      <c r="H85" t="s">
        <v>325</v>
      </c>
      <c r="I85" t="s">
        <v>67</v>
      </c>
      <c r="J85" t="s">
        <v>51</v>
      </c>
      <c r="K85">
        <v>19</v>
      </c>
      <c r="L85">
        <v>41237</v>
      </c>
      <c r="M85">
        <v>21053</v>
      </c>
      <c r="N85">
        <v>20184</v>
      </c>
      <c r="O85" s="6">
        <f>Table1[[#This Row],[Profit]]/Table1[[#This Row],[Sales_Amount]]</f>
        <v>0.48946334602420155</v>
      </c>
      <c r="P85" t="s">
        <v>60</v>
      </c>
    </row>
    <row r="86" spans="1:16" x14ac:dyDescent="0.35">
      <c r="A86" t="s">
        <v>327</v>
      </c>
      <c r="B86" t="s">
        <v>328</v>
      </c>
      <c r="C86" t="str">
        <f>TEXT(Table1[[#This Row],[Order_Date]],"mmm")</f>
        <v>Apr</v>
      </c>
      <c r="D86">
        <f>YEAR(Table1[[#This Row],[Order_Date]])</f>
        <v>2025</v>
      </c>
      <c r="E86" t="s">
        <v>55</v>
      </c>
      <c r="F86" t="s">
        <v>188</v>
      </c>
      <c r="G86" t="s">
        <v>138</v>
      </c>
      <c r="H86" t="s">
        <v>329</v>
      </c>
      <c r="I86" t="s">
        <v>76</v>
      </c>
      <c r="J86" t="s">
        <v>77</v>
      </c>
      <c r="K86">
        <v>16</v>
      </c>
      <c r="L86">
        <v>50243</v>
      </c>
      <c r="M86">
        <v>29013</v>
      </c>
      <c r="N86">
        <v>21230</v>
      </c>
      <c r="O86" s="6">
        <f>Table1[[#This Row],[Profit]]/Table1[[#This Row],[Sales_Amount]]</f>
        <v>0.42254642437752521</v>
      </c>
      <c r="P86" t="s">
        <v>121</v>
      </c>
    </row>
    <row r="87" spans="1:16" x14ac:dyDescent="0.35">
      <c r="A87" t="s">
        <v>330</v>
      </c>
      <c r="B87" t="s">
        <v>93</v>
      </c>
      <c r="C87" t="str">
        <f>TEXT(Table1[[#This Row],[Order_Date]],"mmm")</f>
        <v>Mar</v>
      </c>
      <c r="D87">
        <f>YEAR(Table1[[#This Row],[Order_Date]])</f>
        <v>2025</v>
      </c>
      <c r="E87" t="s">
        <v>111</v>
      </c>
      <c r="F87" t="s">
        <v>112</v>
      </c>
      <c r="G87" t="s">
        <v>57</v>
      </c>
      <c r="H87" t="s">
        <v>331</v>
      </c>
      <c r="I87" t="s">
        <v>125</v>
      </c>
      <c r="J87" t="s">
        <v>83</v>
      </c>
      <c r="K87">
        <v>19</v>
      </c>
      <c r="L87">
        <v>45735</v>
      </c>
      <c r="M87">
        <v>34658</v>
      </c>
      <c r="N87">
        <v>11077</v>
      </c>
      <c r="O87" s="6">
        <f>Table1[[#This Row],[Profit]]/Table1[[#This Row],[Sales_Amount]]</f>
        <v>0.24219962829342953</v>
      </c>
      <c r="P87" t="s">
        <v>52</v>
      </c>
    </row>
    <row r="88" spans="1:16" x14ac:dyDescent="0.35">
      <c r="A88" t="s">
        <v>332</v>
      </c>
      <c r="B88" t="s">
        <v>333</v>
      </c>
      <c r="C88" t="str">
        <f>TEXT(Table1[[#This Row],[Order_Date]],"mmm")</f>
        <v>Dec</v>
      </c>
      <c r="D88">
        <f>YEAR(Table1[[#This Row],[Order_Date]])</f>
        <v>2025</v>
      </c>
      <c r="E88" t="s">
        <v>111</v>
      </c>
      <c r="F88" t="s">
        <v>169</v>
      </c>
      <c r="G88" t="s">
        <v>48</v>
      </c>
      <c r="H88" t="s">
        <v>334</v>
      </c>
      <c r="I88" t="s">
        <v>67</v>
      </c>
      <c r="J88" t="s">
        <v>51</v>
      </c>
      <c r="K88">
        <v>19</v>
      </c>
      <c r="L88">
        <v>49811</v>
      </c>
      <c r="M88">
        <v>32030</v>
      </c>
      <c r="N88">
        <v>17781</v>
      </c>
      <c r="O88" s="6">
        <f>Table1[[#This Row],[Profit]]/Table1[[#This Row],[Sales_Amount]]</f>
        <v>0.35696934412077652</v>
      </c>
      <c r="P88" t="s">
        <v>98</v>
      </c>
    </row>
    <row r="89" spans="1:16" x14ac:dyDescent="0.35">
      <c r="A89" t="s">
        <v>335</v>
      </c>
      <c r="B89" t="s">
        <v>90</v>
      </c>
      <c r="C89" t="str">
        <f>TEXT(Table1[[#This Row],[Order_Date]],"mmm")</f>
        <v>Dec</v>
      </c>
      <c r="D89">
        <f>YEAR(Table1[[#This Row],[Order_Date]])</f>
        <v>2025</v>
      </c>
      <c r="E89" t="s">
        <v>46</v>
      </c>
      <c r="F89" t="s">
        <v>74</v>
      </c>
      <c r="G89" t="s">
        <v>138</v>
      </c>
      <c r="H89" t="s">
        <v>336</v>
      </c>
      <c r="I89" t="s">
        <v>59</v>
      </c>
      <c r="J89" t="s">
        <v>51</v>
      </c>
      <c r="K89">
        <v>23</v>
      </c>
      <c r="L89">
        <v>26834</v>
      </c>
      <c r="M89">
        <v>22708</v>
      </c>
      <c r="N89">
        <v>4126</v>
      </c>
      <c r="O89" s="6">
        <f>Table1[[#This Row],[Profit]]/Table1[[#This Row],[Sales_Amount]]</f>
        <v>0.1537601550272043</v>
      </c>
      <c r="P89" t="s">
        <v>121</v>
      </c>
    </row>
    <row r="90" spans="1:16" x14ac:dyDescent="0.35">
      <c r="A90" t="s">
        <v>337</v>
      </c>
      <c r="B90" t="s">
        <v>316</v>
      </c>
      <c r="C90" t="str">
        <f>TEXT(Table1[[#This Row],[Order_Date]],"mmm")</f>
        <v>Mar</v>
      </c>
      <c r="D90">
        <f>YEAR(Table1[[#This Row],[Order_Date]])</f>
        <v>2025</v>
      </c>
      <c r="E90" t="s">
        <v>55</v>
      </c>
      <c r="F90" t="s">
        <v>188</v>
      </c>
      <c r="G90" t="s">
        <v>65</v>
      </c>
      <c r="H90" t="s">
        <v>338</v>
      </c>
      <c r="I90" t="s">
        <v>82</v>
      </c>
      <c r="J90" t="s">
        <v>83</v>
      </c>
      <c r="K90">
        <v>8</v>
      </c>
      <c r="L90">
        <v>41035</v>
      </c>
      <c r="M90">
        <v>23502</v>
      </c>
      <c r="N90">
        <v>17533</v>
      </c>
      <c r="O90" s="6">
        <f>Table1[[#This Row],[Profit]]/Table1[[#This Row],[Sales_Amount]]</f>
        <v>0.42726940416717435</v>
      </c>
      <c r="P90" t="s">
        <v>60</v>
      </c>
    </row>
    <row r="91" spans="1:16" x14ac:dyDescent="0.35">
      <c r="A91" t="s">
        <v>339</v>
      </c>
      <c r="B91" t="s">
        <v>268</v>
      </c>
      <c r="C91" t="str">
        <f>TEXT(Table1[[#This Row],[Order_Date]],"mmm")</f>
        <v>Oct</v>
      </c>
      <c r="D91">
        <f>YEAR(Table1[[#This Row],[Order_Date]])</f>
        <v>2025</v>
      </c>
      <c r="E91" t="s">
        <v>46</v>
      </c>
      <c r="F91" t="s">
        <v>74</v>
      </c>
      <c r="G91" t="s">
        <v>138</v>
      </c>
      <c r="H91" t="s">
        <v>340</v>
      </c>
      <c r="I91" t="s">
        <v>143</v>
      </c>
      <c r="J91" t="s">
        <v>51</v>
      </c>
      <c r="K91">
        <v>9</v>
      </c>
      <c r="L91">
        <v>66894</v>
      </c>
      <c r="M91">
        <v>53256</v>
      </c>
      <c r="N91">
        <v>13638</v>
      </c>
      <c r="O91" s="6">
        <f>Table1[[#This Row],[Profit]]/Table1[[#This Row],[Sales_Amount]]</f>
        <v>0.20387478697641043</v>
      </c>
      <c r="P91" t="s">
        <v>121</v>
      </c>
    </row>
    <row r="92" spans="1:16" x14ac:dyDescent="0.35">
      <c r="A92" t="s">
        <v>341</v>
      </c>
      <c r="B92" t="s">
        <v>342</v>
      </c>
      <c r="C92" t="str">
        <f>TEXT(Table1[[#This Row],[Order_Date]],"mmm")</f>
        <v>Jun</v>
      </c>
      <c r="D92">
        <f>YEAR(Table1[[#This Row],[Order_Date]])</f>
        <v>2025</v>
      </c>
      <c r="E92" t="s">
        <v>111</v>
      </c>
      <c r="F92" t="s">
        <v>169</v>
      </c>
      <c r="G92" t="s">
        <v>80</v>
      </c>
      <c r="H92" t="s">
        <v>343</v>
      </c>
      <c r="I92" t="s">
        <v>76</v>
      </c>
      <c r="J92" t="s">
        <v>77</v>
      </c>
      <c r="K92">
        <v>10</v>
      </c>
      <c r="L92">
        <v>45017</v>
      </c>
      <c r="M92">
        <v>26876</v>
      </c>
      <c r="N92">
        <v>18141</v>
      </c>
      <c r="O92" s="6">
        <f>Table1[[#This Row],[Profit]]/Table1[[#This Row],[Sales_Amount]]</f>
        <v>0.40298109603038851</v>
      </c>
      <c r="P92" t="s">
        <v>121</v>
      </c>
    </row>
    <row r="93" spans="1:16" x14ac:dyDescent="0.35">
      <c r="A93" t="s">
        <v>344</v>
      </c>
      <c r="B93" t="s">
        <v>345</v>
      </c>
      <c r="C93" t="str">
        <f>TEXT(Table1[[#This Row],[Order_Date]],"mmm")</f>
        <v>Apr</v>
      </c>
      <c r="D93">
        <f>YEAR(Table1[[#This Row],[Order_Date]])</f>
        <v>2025</v>
      </c>
      <c r="E93" t="s">
        <v>111</v>
      </c>
      <c r="F93" t="s">
        <v>169</v>
      </c>
      <c r="G93" t="s">
        <v>116</v>
      </c>
      <c r="H93" t="s">
        <v>346</v>
      </c>
      <c r="I93" t="s">
        <v>59</v>
      </c>
      <c r="J93" t="s">
        <v>51</v>
      </c>
      <c r="K93">
        <v>12</v>
      </c>
      <c r="L93">
        <v>11636</v>
      </c>
      <c r="M93">
        <v>9232</v>
      </c>
      <c r="N93">
        <v>2404</v>
      </c>
      <c r="O93" s="6">
        <f>Table1[[#This Row],[Profit]]/Table1[[#This Row],[Sales_Amount]]</f>
        <v>0.20660020625644551</v>
      </c>
      <c r="P93" t="s">
        <v>52</v>
      </c>
    </row>
    <row r="94" spans="1:16" x14ac:dyDescent="0.35">
      <c r="A94" t="s">
        <v>347</v>
      </c>
      <c r="B94" t="s">
        <v>348</v>
      </c>
      <c r="C94" t="str">
        <f>TEXT(Table1[[#This Row],[Order_Date]],"mmm")</f>
        <v>Feb</v>
      </c>
      <c r="D94">
        <f>YEAR(Table1[[#This Row],[Order_Date]])</f>
        <v>2025</v>
      </c>
      <c r="E94" t="s">
        <v>46</v>
      </c>
      <c r="F94" t="s">
        <v>74</v>
      </c>
      <c r="G94" t="s">
        <v>57</v>
      </c>
      <c r="H94" t="s">
        <v>349</v>
      </c>
      <c r="I94" t="s">
        <v>50</v>
      </c>
      <c r="J94" t="s">
        <v>51</v>
      </c>
      <c r="K94">
        <v>1</v>
      </c>
      <c r="L94">
        <v>36771</v>
      </c>
      <c r="M94">
        <v>30294</v>
      </c>
      <c r="N94">
        <v>6477</v>
      </c>
      <c r="O94" s="6">
        <f>Table1[[#This Row],[Profit]]/Table1[[#This Row],[Sales_Amount]]</f>
        <v>0.17614424410540916</v>
      </c>
      <c r="P94" t="s">
        <v>60</v>
      </c>
    </row>
    <row r="95" spans="1:16" x14ac:dyDescent="0.35">
      <c r="A95" t="s">
        <v>350</v>
      </c>
      <c r="B95" t="s">
        <v>351</v>
      </c>
      <c r="C95" t="str">
        <f>TEXT(Table1[[#This Row],[Order_Date]],"mmm")</f>
        <v>Jan</v>
      </c>
      <c r="D95">
        <f>YEAR(Table1[[#This Row],[Order_Date]])</f>
        <v>2025</v>
      </c>
      <c r="E95" t="s">
        <v>46</v>
      </c>
      <c r="F95" t="s">
        <v>74</v>
      </c>
      <c r="G95" t="s">
        <v>57</v>
      </c>
      <c r="H95" t="s">
        <v>352</v>
      </c>
      <c r="I95" t="s">
        <v>50</v>
      </c>
      <c r="J95" t="s">
        <v>51</v>
      </c>
      <c r="K95">
        <v>9</v>
      </c>
      <c r="L95">
        <v>48506</v>
      </c>
      <c r="M95">
        <v>37444</v>
      </c>
      <c r="N95">
        <v>11062</v>
      </c>
      <c r="O95" s="6">
        <f>Table1[[#This Row],[Profit]]/Table1[[#This Row],[Sales_Amount]]</f>
        <v>0.22805426132849543</v>
      </c>
      <c r="P95" t="s">
        <v>52</v>
      </c>
    </row>
    <row r="96" spans="1:16" x14ac:dyDescent="0.35">
      <c r="A96" t="s">
        <v>353</v>
      </c>
      <c r="B96" t="s">
        <v>187</v>
      </c>
      <c r="C96" t="str">
        <f>TEXT(Table1[[#This Row],[Order_Date]],"mmm")</f>
        <v>Apr</v>
      </c>
      <c r="D96">
        <f>YEAR(Table1[[#This Row],[Order_Date]])</f>
        <v>2025</v>
      </c>
      <c r="E96" t="s">
        <v>46</v>
      </c>
      <c r="F96" t="s">
        <v>74</v>
      </c>
      <c r="G96" t="s">
        <v>57</v>
      </c>
      <c r="H96" t="s">
        <v>354</v>
      </c>
      <c r="I96" t="s">
        <v>87</v>
      </c>
      <c r="J96" t="s">
        <v>88</v>
      </c>
      <c r="K96">
        <v>15</v>
      </c>
      <c r="L96">
        <v>61670</v>
      </c>
      <c r="M96">
        <v>39510</v>
      </c>
      <c r="N96">
        <v>22160</v>
      </c>
      <c r="O96" s="6">
        <f>Table1[[#This Row],[Profit]]/Table1[[#This Row],[Sales_Amount]]</f>
        <v>0.35933192800389169</v>
      </c>
      <c r="P96" t="s">
        <v>98</v>
      </c>
    </row>
    <row r="97" spans="1:16" x14ac:dyDescent="0.35">
      <c r="A97" t="s">
        <v>355</v>
      </c>
      <c r="B97" t="s">
        <v>141</v>
      </c>
      <c r="C97" t="str">
        <f>TEXT(Table1[[#This Row],[Order_Date]],"mmm")</f>
        <v>Sep</v>
      </c>
      <c r="D97">
        <f>YEAR(Table1[[#This Row],[Order_Date]])</f>
        <v>2025</v>
      </c>
      <c r="E97" t="s">
        <v>63</v>
      </c>
      <c r="F97" t="s">
        <v>64</v>
      </c>
      <c r="G97" t="s">
        <v>57</v>
      </c>
      <c r="H97" t="s">
        <v>356</v>
      </c>
      <c r="I97" t="s">
        <v>50</v>
      </c>
      <c r="J97" t="s">
        <v>51</v>
      </c>
      <c r="K97">
        <v>15</v>
      </c>
      <c r="L97">
        <v>7203</v>
      </c>
      <c r="M97">
        <v>4486</v>
      </c>
      <c r="N97">
        <v>2717</v>
      </c>
      <c r="O97" s="6">
        <f>Table1[[#This Row],[Profit]]/Table1[[#This Row],[Sales_Amount]]</f>
        <v>0.37720394280161046</v>
      </c>
      <c r="P97" t="s">
        <v>60</v>
      </c>
    </row>
    <row r="98" spans="1:16" x14ac:dyDescent="0.35">
      <c r="A98" t="s">
        <v>357</v>
      </c>
      <c r="B98" t="s">
        <v>217</v>
      </c>
      <c r="C98" t="str">
        <f>TEXT(Table1[[#This Row],[Order_Date]],"mmm")</f>
        <v>Aug</v>
      </c>
      <c r="D98">
        <f>YEAR(Table1[[#This Row],[Order_Date]])</f>
        <v>2025</v>
      </c>
      <c r="E98" t="s">
        <v>46</v>
      </c>
      <c r="F98" t="s">
        <v>74</v>
      </c>
      <c r="G98" t="s">
        <v>80</v>
      </c>
      <c r="H98" t="s">
        <v>358</v>
      </c>
      <c r="I98" t="s">
        <v>67</v>
      </c>
      <c r="J98" t="s">
        <v>51</v>
      </c>
      <c r="K98">
        <v>22</v>
      </c>
      <c r="L98">
        <v>16265</v>
      </c>
      <c r="M98">
        <v>12085</v>
      </c>
      <c r="N98">
        <v>4180</v>
      </c>
      <c r="O98" s="6">
        <f>Table1[[#This Row],[Profit]]/Table1[[#This Row],[Sales_Amount]]</f>
        <v>0.2569935444205349</v>
      </c>
      <c r="P98" t="s">
        <v>52</v>
      </c>
    </row>
    <row r="99" spans="1:16" x14ac:dyDescent="0.35">
      <c r="A99" t="s">
        <v>359</v>
      </c>
      <c r="B99" t="s">
        <v>360</v>
      </c>
      <c r="C99" t="str">
        <f>TEXT(Table1[[#This Row],[Order_Date]],"mmm")</f>
        <v>Apr</v>
      </c>
      <c r="D99">
        <f>YEAR(Table1[[#This Row],[Order_Date]])</f>
        <v>2025</v>
      </c>
      <c r="E99" t="s">
        <v>46</v>
      </c>
      <c r="F99" t="s">
        <v>47</v>
      </c>
      <c r="G99" t="s">
        <v>48</v>
      </c>
      <c r="H99" t="s">
        <v>361</v>
      </c>
      <c r="I99" t="s">
        <v>76</v>
      </c>
      <c r="J99" t="s">
        <v>77</v>
      </c>
      <c r="K99">
        <v>6</v>
      </c>
      <c r="L99">
        <v>101880</v>
      </c>
      <c r="M99">
        <v>66939</v>
      </c>
      <c r="N99">
        <v>34941</v>
      </c>
      <c r="O99" s="6">
        <f>Table1[[#This Row],[Profit]]/Table1[[#This Row],[Sales_Amount]]</f>
        <v>0.34296230859835103</v>
      </c>
      <c r="P99" t="s">
        <v>98</v>
      </c>
    </row>
    <row r="100" spans="1:16" x14ac:dyDescent="0.35">
      <c r="A100" t="s">
        <v>362</v>
      </c>
      <c r="B100" t="s">
        <v>363</v>
      </c>
      <c r="C100" t="str">
        <f>TEXT(Table1[[#This Row],[Order_Date]],"mmm")</f>
        <v>Dec</v>
      </c>
      <c r="D100">
        <f>YEAR(Table1[[#This Row],[Order_Date]])</f>
        <v>2025</v>
      </c>
      <c r="E100" t="s">
        <v>46</v>
      </c>
      <c r="F100" t="s">
        <v>74</v>
      </c>
      <c r="G100" t="s">
        <v>65</v>
      </c>
      <c r="H100" t="s">
        <v>364</v>
      </c>
      <c r="I100" t="s">
        <v>87</v>
      </c>
      <c r="J100" t="s">
        <v>88</v>
      </c>
      <c r="K100">
        <v>9</v>
      </c>
      <c r="L100">
        <v>63940</v>
      </c>
      <c r="M100">
        <v>50938</v>
      </c>
      <c r="N100">
        <v>13002</v>
      </c>
      <c r="O100" s="6">
        <f>Table1[[#This Row],[Profit]]/Table1[[#This Row],[Sales_Amount]]</f>
        <v>0.20334688770722553</v>
      </c>
      <c r="P100" t="s">
        <v>98</v>
      </c>
    </row>
    <row r="101" spans="1:16" x14ac:dyDescent="0.35">
      <c r="A101" t="s">
        <v>365</v>
      </c>
      <c r="B101" t="s">
        <v>366</v>
      </c>
      <c r="C101" t="str">
        <f>TEXT(Table1[[#This Row],[Order_Date]],"mmm")</f>
        <v>May</v>
      </c>
      <c r="D101">
        <f>YEAR(Table1[[#This Row],[Order_Date]])</f>
        <v>2025</v>
      </c>
      <c r="E101" t="s">
        <v>63</v>
      </c>
      <c r="F101" t="s">
        <v>64</v>
      </c>
      <c r="G101" t="s">
        <v>48</v>
      </c>
      <c r="H101" t="s">
        <v>367</v>
      </c>
      <c r="I101" t="s">
        <v>50</v>
      </c>
      <c r="J101" t="s">
        <v>51</v>
      </c>
      <c r="K101">
        <v>19</v>
      </c>
      <c r="L101">
        <v>96435</v>
      </c>
      <c r="M101">
        <v>71892</v>
      </c>
      <c r="N101">
        <v>24543</v>
      </c>
      <c r="O101" s="6">
        <f>Table1[[#This Row],[Profit]]/Table1[[#This Row],[Sales_Amount]]</f>
        <v>0.2545030331311246</v>
      </c>
      <c r="P101" t="s">
        <v>52</v>
      </c>
    </row>
    <row r="102" spans="1:16" x14ac:dyDescent="0.35">
      <c r="A102" t="s">
        <v>368</v>
      </c>
      <c r="B102" t="s">
        <v>274</v>
      </c>
      <c r="C102" t="str">
        <f>TEXT(Table1[[#This Row],[Order_Date]],"mmm")</f>
        <v>Jul</v>
      </c>
      <c r="D102">
        <f>YEAR(Table1[[#This Row],[Order_Date]])</f>
        <v>2025</v>
      </c>
      <c r="E102" t="s">
        <v>55</v>
      </c>
      <c r="F102" t="s">
        <v>188</v>
      </c>
      <c r="G102" t="s">
        <v>80</v>
      </c>
      <c r="H102" t="s">
        <v>369</v>
      </c>
      <c r="I102" t="s">
        <v>125</v>
      </c>
      <c r="J102" t="s">
        <v>83</v>
      </c>
      <c r="K102">
        <v>1</v>
      </c>
      <c r="L102">
        <v>108318</v>
      </c>
      <c r="M102">
        <v>53659</v>
      </c>
      <c r="N102">
        <v>54659</v>
      </c>
      <c r="O102" s="6">
        <f>Table1[[#This Row],[Profit]]/Table1[[#This Row],[Sales_Amount]]</f>
        <v>0.50461603796229615</v>
      </c>
      <c r="P102" t="s">
        <v>121</v>
      </c>
    </row>
    <row r="103" spans="1:16" x14ac:dyDescent="0.35">
      <c r="A103" t="s">
        <v>370</v>
      </c>
      <c r="B103" t="s">
        <v>371</v>
      </c>
      <c r="C103" t="str">
        <f>TEXT(Table1[[#This Row],[Order_Date]],"mmm")</f>
        <v>Aug</v>
      </c>
      <c r="D103">
        <f>YEAR(Table1[[#This Row],[Order_Date]])</f>
        <v>2025</v>
      </c>
      <c r="E103" t="s">
        <v>111</v>
      </c>
      <c r="F103" t="s">
        <v>169</v>
      </c>
      <c r="G103" t="s">
        <v>138</v>
      </c>
      <c r="H103" t="s">
        <v>372</v>
      </c>
      <c r="I103" t="s">
        <v>125</v>
      </c>
      <c r="J103" t="s">
        <v>83</v>
      </c>
      <c r="K103">
        <v>9</v>
      </c>
      <c r="L103">
        <v>80313</v>
      </c>
      <c r="M103">
        <v>64650</v>
      </c>
      <c r="N103">
        <v>15663</v>
      </c>
      <c r="O103" s="6">
        <f>Table1[[#This Row],[Profit]]/Table1[[#This Row],[Sales_Amount]]</f>
        <v>0.19502446677374771</v>
      </c>
      <c r="P103" t="s">
        <v>60</v>
      </c>
    </row>
    <row r="104" spans="1:16" x14ac:dyDescent="0.35">
      <c r="A104" t="s">
        <v>373</v>
      </c>
      <c r="B104" t="s">
        <v>333</v>
      </c>
      <c r="C104" t="str">
        <f>TEXT(Table1[[#This Row],[Order_Date]],"mmm")</f>
        <v>Dec</v>
      </c>
      <c r="D104">
        <f>YEAR(Table1[[#This Row],[Order_Date]])</f>
        <v>2025</v>
      </c>
      <c r="E104" t="s">
        <v>55</v>
      </c>
      <c r="F104" t="s">
        <v>56</v>
      </c>
      <c r="G104" t="s">
        <v>57</v>
      </c>
      <c r="H104" t="s">
        <v>374</v>
      </c>
      <c r="I104" t="s">
        <v>50</v>
      </c>
      <c r="J104" t="s">
        <v>51</v>
      </c>
      <c r="K104">
        <v>14</v>
      </c>
      <c r="L104">
        <v>111067</v>
      </c>
      <c r="M104">
        <v>78680</v>
      </c>
      <c r="N104">
        <v>32387</v>
      </c>
      <c r="O104" s="6">
        <f>Table1[[#This Row],[Profit]]/Table1[[#This Row],[Sales_Amount]]</f>
        <v>0.29159876470958973</v>
      </c>
      <c r="P104" t="s">
        <v>121</v>
      </c>
    </row>
    <row r="105" spans="1:16" x14ac:dyDescent="0.35">
      <c r="A105" t="s">
        <v>375</v>
      </c>
      <c r="B105" t="s">
        <v>376</v>
      </c>
      <c r="C105" t="str">
        <f>TEXT(Table1[[#This Row],[Order_Date]],"mmm")</f>
        <v>Dec</v>
      </c>
      <c r="D105">
        <f>YEAR(Table1[[#This Row],[Order_Date]])</f>
        <v>2025</v>
      </c>
      <c r="E105" t="s">
        <v>111</v>
      </c>
      <c r="F105" t="s">
        <v>112</v>
      </c>
      <c r="G105" t="s">
        <v>65</v>
      </c>
      <c r="H105" t="s">
        <v>377</v>
      </c>
      <c r="I105" t="s">
        <v>67</v>
      </c>
      <c r="J105" t="s">
        <v>51</v>
      </c>
      <c r="K105">
        <v>7</v>
      </c>
      <c r="L105">
        <v>102169</v>
      </c>
      <c r="M105">
        <v>54498</v>
      </c>
      <c r="N105">
        <v>47671</v>
      </c>
      <c r="O105" s="6">
        <f>Table1[[#This Row],[Profit]]/Table1[[#This Row],[Sales_Amount]]</f>
        <v>0.46658967005647506</v>
      </c>
      <c r="P105" t="s">
        <v>52</v>
      </c>
    </row>
    <row r="106" spans="1:16" x14ac:dyDescent="0.35">
      <c r="A106" t="s">
        <v>378</v>
      </c>
      <c r="B106" t="s">
        <v>379</v>
      </c>
      <c r="C106" t="str">
        <f>TEXT(Table1[[#This Row],[Order_Date]],"mmm")</f>
        <v>Aug</v>
      </c>
      <c r="D106">
        <f>YEAR(Table1[[#This Row],[Order_Date]])</f>
        <v>2025</v>
      </c>
      <c r="E106" t="s">
        <v>55</v>
      </c>
      <c r="F106" t="s">
        <v>188</v>
      </c>
      <c r="G106" t="s">
        <v>57</v>
      </c>
      <c r="H106" t="s">
        <v>380</v>
      </c>
      <c r="I106" t="s">
        <v>59</v>
      </c>
      <c r="J106" t="s">
        <v>51</v>
      </c>
      <c r="K106">
        <v>10</v>
      </c>
      <c r="L106">
        <v>6981</v>
      </c>
      <c r="M106">
        <v>4892</v>
      </c>
      <c r="N106">
        <v>2089</v>
      </c>
      <c r="O106" s="6">
        <f>Table1[[#This Row],[Profit]]/Table1[[#This Row],[Sales_Amount]]</f>
        <v>0.29924079644750035</v>
      </c>
      <c r="P106" t="s">
        <v>98</v>
      </c>
    </row>
    <row r="107" spans="1:16" x14ac:dyDescent="0.35">
      <c r="A107" t="s">
        <v>381</v>
      </c>
      <c r="B107" t="s">
        <v>382</v>
      </c>
      <c r="C107" t="str">
        <f>TEXT(Table1[[#This Row],[Order_Date]],"mmm")</f>
        <v>Jul</v>
      </c>
      <c r="D107">
        <f>YEAR(Table1[[#This Row],[Order_Date]])</f>
        <v>2025</v>
      </c>
      <c r="E107" t="s">
        <v>55</v>
      </c>
      <c r="F107" t="s">
        <v>188</v>
      </c>
      <c r="G107" t="s">
        <v>128</v>
      </c>
      <c r="H107" t="s">
        <v>383</v>
      </c>
      <c r="I107" t="s">
        <v>125</v>
      </c>
      <c r="J107" t="s">
        <v>83</v>
      </c>
      <c r="K107">
        <v>10</v>
      </c>
      <c r="L107">
        <v>119290</v>
      </c>
      <c r="M107">
        <v>81292</v>
      </c>
      <c r="N107">
        <v>37998</v>
      </c>
      <c r="O107" s="6">
        <f>Table1[[#This Row],[Profit]]/Table1[[#This Row],[Sales_Amount]]</f>
        <v>0.31853466342526615</v>
      </c>
      <c r="P107" t="s">
        <v>121</v>
      </c>
    </row>
    <row r="108" spans="1:16" x14ac:dyDescent="0.35">
      <c r="A108" t="s">
        <v>384</v>
      </c>
      <c r="B108" t="s">
        <v>385</v>
      </c>
      <c r="C108" t="str">
        <f>TEXT(Table1[[#This Row],[Order_Date]],"mmm")</f>
        <v>Aug</v>
      </c>
      <c r="D108">
        <f>YEAR(Table1[[#This Row],[Order_Date]])</f>
        <v>2025</v>
      </c>
      <c r="E108" t="s">
        <v>63</v>
      </c>
      <c r="F108" t="s">
        <v>104</v>
      </c>
      <c r="G108" t="s">
        <v>70</v>
      </c>
      <c r="H108" t="s">
        <v>386</v>
      </c>
      <c r="I108" t="s">
        <v>59</v>
      </c>
      <c r="J108" t="s">
        <v>51</v>
      </c>
      <c r="K108">
        <v>15</v>
      </c>
      <c r="L108">
        <v>66234</v>
      </c>
      <c r="M108">
        <v>36937</v>
      </c>
      <c r="N108">
        <v>29297</v>
      </c>
      <c r="O108" s="6">
        <f>Table1[[#This Row],[Profit]]/Table1[[#This Row],[Sales_Amount]]</f>
        <v>0.4423256937524534</v>
      </c>
      <c r="P108" t="s">
        <v>60</v>
      </c>
    </row>
    <row r="109" spans="1:16" x14ac:dyDescent="0.35">
      <c r="A109" t="s">
        <v>387</v>
      </c>
      <c r="B109" t="s">
        <v>388</v>
      </c>
      <c r="C109" t="str">
        <f>TEXT(Table1[[#This Row],[Order_Date]],"mmm")</f>
        <v>Jun</v>
      </c>
      <c r="D109">
        <f>YEAR(Table1[[#This Row],[Order_Date]])</f>
        <v>2025</v>
      </c>
      <c r="E109" t="s">
        <v>63</v>
      </c>
      <c r="F109" t="s">
        <v>104</v>
      </c>
      <c r="G109" t="s">
        <v>48</v>
      </c>
      <c r="H109" t="s">
        <v>389</v>
      </c>
      <c r="I109" t="s">
        <v>125</v>
      </c>
      <c r="J109" t="s">
        <v>83</v>
      </c>
      <c r="K109">
        <v>3</v>
      </c>
      <c r="L109">
        <v>83398</v>
      </c>
      <c r="M109">
        <v>50628</v>
      </c>
      <c r="N109">
        <v>32770</v>
      </c>
      <c r="O109" s="6">
        <f>Table1[[#This Row],[Profit]]/Table1[[#This Row],[Sales_Amount]]</f>
        <v>0.39293508237607616</v>
      </c>
      <c r="P109" t="s">
        <v>52</v>
      </c>
    </row>
    <row r="110" spans="1:16" x14ac:dyDescent="0.35">
      <c r="A110" t="s">
        <v>390</v>
      </c>
      <c r="B110" t="s">
        <v>391</v>
      </c>
      <c r="C110" t="str">
        <f>TEXT(Table1[[#This Row],[Order_Date]],"mmm")</f>
        <v>Jan</v>
      </c>
      <c r="D110">
        <f>YEAR(Table1[[#This Row],[Order_Date]])</f>
        <v>2025</v>
      </c>
      <c r="E110" t="s">
        <v>55</v>
      </c>
      <c r="F110" t="s">
        <v>188</v>
      </c>
      <c r="G110" t="s">
        <v>70</v>
      </c>
      <c r="H110" t="s">
        <v>392</v>
      </c>
      <c r="I110" t="s">
        <v>76</v>
      </c>
      <c r="J110" t="s">
        <v>77</v>
      </c>
      <c r="K110">
        <v>2</v>
      </c>
      <c r="L110">
        <v>48951</v>
      </c>
      <c r="M110">
        <v>32194</v>
      </c>
      <c r="N110">
        <v>16757</v>
      </c>
      <c r="O110" s="6">
        <f>Table1[[#This Row],[Profit]]/Table1[[#This Row],[Sales_Amount]]</f>
        <v>0.34232191375048515</v>
      </c>
      <c r="P110" t="s">
        <v>52</v>
      </c>
    </row>
    <row r="111" spans="1:16" x14ac:dyDescent="0.35">
      <c r="A111" t="s">
        <v>393</v>
      </c>
      <c r="B111" t="s">
        <v>345</v>
      </c>
      <c r="C111" t="str">
        <f>TEXT(Table1[[#This Row],[Order_Date]],"mmm")</f>
        <v>Apr</v>
      </c>
      <c r="D111">
        <f>YEAR(Table1[[#This Row],[Order_Date]])</f>
        <v>2025</v>
      </c>
      <c r="E111" t="s">
        <v>111</v>
      </c>
      <c r="F111" t="s">
        <v>112</v>
      </c>
      <c r="G111" t="s">
        <v>80</v>
      </c>
      <c r="H111" t="s">
        <v>394</v>
      </c>
      <c r="I111" t="s">
        <v>76</v>
      </c>
      <c r="J111" t="s">
        <v>77</v>
      </c>
      <c r="K111">
        <v>2</v>
      </c>
      <c r="L111">
        <v>10679</v>
      </c>
      <c r="M111">
        <v>7788</v>
      </c>
      <c r="N111">
        <v>2891</v>
      </c>
      <c r="O111" s="6">
        <f>Table1[[#This Row],[Profit]]/Table1[[#This Row],[Sales_Amount]]</f>
        <v>0.27071823204419887</v>
      </c>
      <c r="P111" t="s">
        <v>52</v>
      </c>
    </row>
    <row r="112" spans="1:16" x14ac:dyDescent="0.35">
      <c r="A112" t="s">
        <v>395</v>
      </c>
      <c r="B112" t="s">
        <v>396</v>
      </c>
      <c r="C112" t="str">
        <f>TEXT(Table1[[#This Row],[Order_Date]],"mmm")</f>
        <v>Feb</v>
      </c>
      <c r="D112">
        <f>YEAR(Table1[[#This Row],[Order_Date]])</f>
        <v>2025</v>
      </c>
      <c r="E112" t="s">
        <v>63</v>
      </c>
      <c r="F112" t="s">
        <v>104</v>
      </c>
      <c r="G112" t="s">
        <v>65</v>
      </c>
      <c r="H112" t="s">
        <v>397</v>
      </c>
      <c r="I112" t="s">
        <v>59</v>
      </c>
      <c r="J112" t="s">
        <v>51</v>
      </c>
      <c r="K112">
        <v>19</v>
      </c>
      <c r="L112">
        <v>13187</v>
      </c>
      <c r="M112">
        <v>6935</v>
      </c>
      <c r="N112">
        <v>6252</v>
      </c>
      <c r="O112" s="6">
        <f>Table1[[#This Row],[Profit]]/Table1[[#This Row],[Sales_Amount]]</f>
        <v>0.47410328353681658</v>
      </c>
      <c r="P112" t="s">
        <v>52</v>
      </c>
    </row>
    <row r="113" spans="1:16" x14ac:dyDescent="0.35">
      <c r="A113" t="s">
        <v>398</v>
      </c>
      <c r="B113" t="s">
        <v>379</v>
      </c>
      <c r="C113" t="str">
        <f>TEXT(Table1[[#This Row],[Order_Date]],"mmm")</f>
        <v>Aug</v>
      </c>
      <c r="D113">
        <f>YEAR(Table1[[#This Row],[Order_Date]])</f>
        <v>2025</v>
      </c>
      <c r="E113" t="s">
        <v>46</v>
      </c>
      <c r="F113" t="s">
        <v>74</v>
      </c>
      <c r="G113" t="s">
        <v>128</v>
      </c>
      <c r="H113" t="s">
        <v>399</v>
      </c>
      <c r="I113" t="s">
        <v>82</v>
      </c>
      <c r="J113" t="s">
        <v>83</v>
      </c>
      <c r="K113">
        <v>23</v>
      </c>
      <c r="L113">
        <v>80387</v>
      </c>
      <c r="M113">
        <v>65583</v>
      </c>
      <c r="N113">
        <v>14804</v>
      </c>
      <c r="O113" s="6">
        <f>Table1[[#This Row],[Profit]]/Table1[[#This Row],[Sales_Amount]]</f>
        <v>0.18415913020762065</v>
      </c>
      <c r="P113" t="s">
        <v>60</v>
      </c>
    </row>
    <row r="114" spans="1:16" x14ac:dyDescent="0.35">
      <c r="A114" t="s">
        <v>400</v>
      </c>
      <c r="B114" t="s">
        <v>401</v>
      </c>
      <c r="C114" t="str">
        <f>TEXT(Table1[[#This Row],[Order_Date]],"mmm")</f>
        <v>Oct</v>
      </c>
      <c r="D114">
        <f>YEAR(Table1[[#This Row],[Order_Date]])</f>
        <v>2025</v>
      </c>
      <c r="E114" t="s">
        <v>46</v>
      </c>
      <c r="F114" t="s">
        <v>74</v>
      </c>
      <c r="G114" t="s">
        <v>48</v>
      </c>
      <c r="H114" t="s">
        <v>402</v>
      </c>
      <c r="I114" t="s">
        <v>50</v>
      </c>
      <c r="J114" t="s">
        <v>51</v>
      </c>
      <c r="K114">
        <v>10</v>
      </c>
      <c r="L114">
        <v>115379</v>
      </c>
      <c r="M114">
        <v>52285</v>
      </c>
      <c r="N114">
        <v>63094</v>
      </c>
      <c r="O114" s="6">
        <f>Table1[[#This Row],[Profit]]/Table1[[#This Row],[Sales_Amount]]</f>
        <v>0.54684127960894102</v>
      </c>
      <c r="P114" t="s">
        <v>52</v>
      </c>
    </row>
    <row r="115" spans="1:16" x14ac:dyDescent="0.35">
      <c r="A115" t="s">
        <v>403</v>
      </c>
      <c r="B115" t="s">
        <v>404</v>
      </c>
      <c r="C115" t="str">
        <f>TEXT(Table1[[#This Row],[Order_Date]],"mmm")</f>
        <v>Aug</v>
      </c>
      <c r="D115">
        <f>YEAR(Table1[[#This Row],[Order_Date]])</f>
        <v>2025</v>
      </c>
      <c r="E115" t="s">
        <v>55</v>
      </c>
      <c r="F115" t="s">
        <v>56</v>
      </c>
      <c r="G115" t="s">
        <v>116</v>
      </c>
      <c r="H115" t="s">
        <v>405</v>
      </c>
      <c r="I115" t="s">
        <v>87</v>
      </c>
      <c r="J115" t="s">
        <v>88</v>
      </c>
      <c r="K115">
        <v>10</v>
      </c>
      <c r="L115">
        <v>117459</v>
      </c>
      <c r="M115">
        <v>67578</v>
      </c>
      <c r="N115">
        <v>49881</v>
      </c>
      <c r="O115" s="6">
        <f>Table1[[#This Row],[Profit]]/Table1[[#This Row],[Sales_Amount]]</f>
        <v>0.42466733072816898</v>
      </c>
      <c r="P115" t="s">
        <v>60</v>
      </c>
    </row>
    <row r="116" spans="1:16" x14ac:dyDescent="0.35">
      <c r="A116" t="s">
        <v>406</v>
      </c>
      <c r="B116" t="s">
        <v>407</v>
      </c>
      <c r="C116" t="str">
        <f>TEXT(Table1[[#This Row],[Order_Date]],"mmm")</f>
        <v>Jan</v>
      </c>
      <c r="D116">
        <f>YEAR(Table1[[#This Row],[Order_Date]])</f>
        <v>2025</v>
      </c>
      <c r="E116" t="s">
        <v>55</v>
      </c>
      <c r="F116" t="s">
        <v>188</v>
      </c>
      <c r="G116" t="s">
        <v>80</v>
      </c>
      <c r="H116" t="s">
        <v>408</v>
      </c>
      <c r="I116" t="s">
        <v>76</v>
      </c>
      <c r="J116" t="s">
        <v>77</v>
      </c>
      <c r="K116">
        <v>2</v>
      </c>
      <c r="L116">
        <v>113623</v>
      </c>
      <c r="M116">
        <v>68538</v>
      </c>
      <c r="N116">
        <v>45085</v>
      </c>
      <c r="O116" s="6">
        <f>Table1[[#This Row],[Profit]]/Table1[[#This Row],[Sales_Amount]]</f>
        <v>0.39679466305237499</v>
      </c>
      <c r="P116" t="s">
        <v>52</v>
      </c>
    </row>
    <row r="117" spans="1:16" x14ac:dyDescent="0.35">
      <c r="A117" t="s">
        <v>409</v>
      </c>
      <c r="B117" t="s">
        <v>277</v>
      </c>
      <c r="C117" t="str">
        <f>TEXT(Table1[[#This Row],[Order_Date]],"mmm")</f>
        <v>May</v>
      </c>
      <c r="D117">
        <f>YEAR(Table1[[#This Row],[Order_Date]])</f>
        <v>2025</v>
      </c>
      <c r="E117" t="s">
        <v>55</v>
      </c>
      <c r="F117" t="s">
        <v>56</v>
      </c>
      <c r="G117" t="s">
        <v>65</v>
      </c>
      <c r="H117" t="s">
        <v>410</v>
      </c>
      <c r="I117" t="s">
        <v>125</v>
      </c>
      <c r="J117" t="s">
        <v>83</v>
      </c>
      <c r="K117">
        <v>10</v>
      </c>
      <c r="L117">
        <v>93216</v>
      </c>
      <c r="M117">
        <v>42230</v>
      </c>
      <c r="N117">
        <v>50986</v>
      </c>
      <c r="O117" s="6">
        <f>Table1[[#This Row],[Profit]]/Table1[[#This Row],[Sales_Amount]]</f>
        <v>0.5469661860624786</v>
      </c>
      <c r="P117" t="s">
        <v>121</v>
      </c>
    </row>
    <row r="118" spans="1:16" x14ac:dyDescent="0.35">
      <c r="A118" t="s">
        <v>411</v>
      </c>
      <c r="B118" t="s">
        <v>412</v>
      </c>
      <c r="C118" t="str">
        <f>TEXT(Table1[[#This Row],[Order_Date]],"mmm")</f>
        <v>May</v>
      </c>
      <c r="D118">
        <f>YEAR(Table1[[#This Row],[Order_Date]])</f>
        <v>2025</v>
      </c>
      <c r="E118" t="s">
        <v>111</v>
      </c>
      <c r="F118" t="s">
        <v>169</v>
      </c>
      <c r="G118" t="s">
        <v>138</v>
      </c>
      <c r="H118" t="s">
        <v>413</v>
      </c>
      <c r="I118" t="s">
        <v>76</v>
      </c>
      <c r="J118" t="s">
        <v>77</v>
      </c>
      <c r="K118">
        <v>1</v>
      </c>
      <c r="L118">
        <v>100402</v>
      </c>
      <c r="M118">
        <v>45957</v>
      </c>
      <c r="N118">
        <v>54445</v>
      </c>
      <c r="O118" s="6">
        <f>Table1[[#This Row],[Profit]]/Table1[[#This Row],[Sales_Amount]]</f>
        <v>0.54227007430130869</v>
      </c>
      <c r="P118" t="s">
        <v>60</v>
      </c>
    </row>
    <row r="119" spans="1:16" x14ac:dyDescent="0.35">
      <c r="A119" t="s">
        <v>414</v>
      </c>
      <c r="B119" t="s">
        <v>93</v>
      </c>
      <c r="C119" t="str">
        <f>TEXT(Table1[[#This Row],[Order_Date]],"mmm")</f>
        <v>Mar</v>
      </c>
      <c r="D119">
        <f>YEAR(Table1[[#This Row],[Order_Date]])</f>
        <v>2025</v>
      </c>
      <c r="E119" t="s">
        <v>46</v>
      </c>
      <c r="F119" t="s">
        <v>47</v>
      </c>
      <c r="G119" t="s">
        <v>65</v>
      </c>
      <c r="H119" t="s">
        <v>415</v>
      </c>
      <c r="I119" t="s">
        <v>156</v>
      </c>
      <c r="J119" t="s">
        <v>157</v>
      </c>
      <c r="K119">
        <v>14</v>
      </c>
      <c r="L119">
        <v>50964</v>
      </c>
      <c r="M119">
        <v>34904</v>
      </c>
      <c r="N119">
        <v>16060</v>
      </c>
      <c r="O119" s="6">
        <f>Table1[[#This Row],[Profit]]/Table1[[#This Row],[Sales_Amount]]</f>
        <v>0.31512440153834081</v>
      </c>
      <c r="P119" t="s">
        <v>121</v>
      </c>
    </row>
    <row r="120" spans="1:16" x14ac:dyDescent="0.35">
      <c r="A120" t="s">
        <v>416</v>
      </c>
      <c r="B120" t="s">
        <v>417</v>
      </c>
      <c r="C120" t="str">
        <f>TEXT(Table1[[#This Row],[Order_Date]],"mmm")</f>
        <v>Feb</v>
      </c>
      <c r="D120">
        <f>YEAR(Table1[[#This Row],[Order_Date]])</f>
        <v>2025</v>
      </c>
      <c r="E120" t="s">
        <v>63</v>
      </c>
      <c r="F120" t="s">
        <v>64</v>
      </c>
      <c r="G120" t="s">
        <v>70</v>
      </c>
      <c r="H120" t="s">
        <v>418</v>
      </c>
      <c r="I120" t="s">
        <v>87</v>
      </c>
      <c r="J120" t="s">
        <v>88</v>
      </c>
      <c r="K120">
        <v>4</v>
      </c>
      <c r="L120">
        <v>27584</v>
      </c>
      <c r="M120">
        <v>16429</v>
      </c>
      <c r="N120">
        <v>11155</v>
      </c>
      <c r="O120" s="6">
        <f>Table1[[#This Row],[Profit]]/Table1[[#This Row],[Sales_Amount]]</f>
        <v>0.40440110208816704</v>
      </c>
      <c r="P120" t="s">
        <v>60</v>
      </c>
    </row>
    <row r="121" spans="1:16" x14ac:dyDescent="0.35">
      <c r="A121" t="s">
        <v>419</v>
      </c>
      <c r="B121" t="s">
        <v>382</v>
      </c>
      <c r="C121" t="str">
        <f>TEXT(Table1[[#This Row],[Order_Date]],"mmm")</f>
        <v>Jul</v>
      </c>
      <c r="D121">
        <f>YEAR(Table1[[#This Row],[Order_Date]])</f>
        <v>2025</v>
      </c>
      <c r="E121" t="s">
        <v>63</v>
      </c>
      <c r="F121" t="s">
        <v>104</v>
      </c>
      <c r="G121" t="s">
        <v>80</v>
      </c>
      <c r="H121" t="s">
        <v>420</v>
      </c>
      <c r="I121" t="s">
        <v>156</v>
      </c>
      <c r="J121" t="s">
        <v>157</v>
      </c>
      <c r="K121">
        <v>4</v>
      </c>
      <c r="L121">
        <v>118000</v>
      </c>
      <c r="M121">
        <v>97793</v>
      </c>
      <c r="N121">
        <v>20207</v>
      </c>
      <c r="O121" s="6">
        <f>Table1[[#This Row],[Profit]]/Table1[[#This Row],[Sales_Amount]]</f>
        <v>0.1712457627118644</v>
      </c>
      <c r="P121" t="s">
        <v>60</v>
      </c>
    </row>
    <row r="122" spans="1:16" x14ac:dyDescent="0.35">
      <c r="A122" t="s">
        <v>421</v>
      </c>
      <c r="B122" t="s">
        <v>422</v>
      </c>
      <c r="C122" t="str">
        <f>TEXT(Table1[[#This Row],[Order_Date]],"mmm")</f>
        <v>Feb</v>
      </c>
      <c r="D122">
        <f>YEAR(Table1[[#This Row],[Order_Date]])</f>
        <v>2025</v>
      </c>
      <c r="E122" t="s">
        <v>63</v>
      </c>
      <c r="F122" t="s">
        <v>104</v>
      </c>
      <c r="G122" t="s">
        <v>57</v>
      </c>
      <c r="H122" t="s">
        <v>423</v>
      </c>
      <c r="I122" t="s">
        <v>50</v>
      </c>
      <c r="J122" t="s">
        <v>51</v>
      </c>
      <c r="K122">
        <v>8</v>
      </c>
      <c r="L122">
        <v>68355</v>
      </c>
      <c r="M122">
        <v>42034</v>
      </c>
      <c r="N122">
        <v>26321</v>
      </c>
      <c r="O122" s="6">
        <f>Table1[[#This Row],[Profit]]/Table1[[#This Row],[Sales_Amount]]</f>
        <v>0.38506327262087631</v>
      </c>
      <c r="P122" t="s">
        <v>60</v>
      </c>
    </row>
    <row r="123" spans="1:16" x14ac:dyDescent="0.35">
      <c r="A123" t="s">
        <v>424</v>
      </c>
      <c r="B123" t="s">
        <v>425</v>
      </c>
      <c r="C123" t="str">
        <f>TEXT(Table1[[#This Row],[Order_Date]],"mmm")</f>
        <v>Apr</v>
      </c>
      <c r="D123">
        <f>YEAR(Table1[[#This Row],[Order_Date]])</f>
        <v>2025</v>
      </c>
      <c r="E123" t="s">
        <v>46</v>
      </c>
      <c r="F123" t="s">
        <v>47</v>
      </c>
      <c r="G123" t="s">
        <v>116</v>
      </c>
      <c r="H123" t="s">
        <v>426</v>
      </c>
      <c r="I123" t="s">
        <v>125</v>
      </c>
      <c r="J123" t="s">
        <v>83</v>
      </c>
      <c r="K123">
        <v>7</v>
      </c>
      <c r="L123">
        <v>11733</v>
      </c>
      <c r="M123">
        <v>7667</v>
      </c>
      <c r="N123">
        <v>4066</v>
      </c>
      <c r="O123" s="6">
        <f>Table1[[#This Row],[Profit]]/Table1[[#This Row],[Sales_Amount]]</f>
        <v>0.34654393590727012</v>
      </c>
      <c r="P123" t="s">
        <v>121</v>
      </c>
    </row>
    <row r="124" spans="1:16" x14ac:dyDescent="0.35">
      <c r="A124" t="s">
        <v>427</v>
      </c>
      <c r="B124" t="s">
        <v>428</v>
      </c>
      <c r="C124" t="str">
        <f>TEXT(Table1[[#This Row],[Order_Date]],"mmm")</f>
        <v>Jan</v>
      </c>
      <c r="D124">
        <f>YEAR(Table1[[#This Row],[Order_Date]])</f>
        <v>2025</v>
      </c>
      <c r="E124" t="s">
        <v>63</v>
      </c>
      <c r="F124" t="s">
        <v>104</v>
      </c>
      <c r="G124" t="s">
        <v>57</v>
      </c>
      <c r="H124" t="s">
        <v>429</v>
      </c>
      <c r="I124" t="s">
        <v>76</v>
      </c>
      <c r="J124" t="s">
        <v>77</v>
      </c>
      <c r="K124">
        <v>2</v>
      </c>
      <c r="L124">
        <v>86015</v>
      </c>
      <c r="M124">
        <v>48082</v>
      </c>
      <c r="N124">
        <v>37933</v>
      </c>
      <c r="O124" s="6">
        <f>Table1[[#This Row],[Profit]]/Table1[[#This Row],[Sales_Amount]]</f>
        <v>0.44100447596349474</v>
      </c>
      <c r="P124" t="s">
        <v>121</v>
      </c>
    </row>
    <row r="125" spans="1:16" x14ac:dyDescent="0.35">
      <c r="A125" t="s">
        <v>430</v>
      </c>
      <c r="B125" t="s">
        <v>431</v>
      </c>
      <c r="C125" t="str">
        <f>TEXT(Table1[[#This Row],[Order_Date]],"mmm")</f>
        <v>Jun</v>
      </c>
      <c r="D125">
        <f>YEAR(Table1[[#This Row],[Order_Date]])</f>
        <v>2025</v>
      </c>
      <c r="E125" t="s">
        <v>55</v>
      </c>
      <c r="F125" t="s">
        <v>188</v>
      </c>
      <c r="G125" t="s">
        <v>138</v>
      </c>
      <c r="H125" t="s">
        <v>432</v>
      </c>
      <c r="I125" t="s">
        <v>143</v>
      </c>
      <c r="J125" t="s">
        <v>51</v>
      </c>
      <c r="K125">
        <v>10</v>
      </c>
      <c r="L125">
        <v>96416</v>
      </c>
      <c r="M125">
        <v>78506</v>
      </c>
      <c r="N125">
        <v>17910</v>
      </c>
      <c r="O125" s="6">
        <f>Table1[[#This Row],[Profit]]/Table1[[#This Row],[Sales_Amount]]</f>
        <v>0.18575755061400598</v>
      </c>
      <c r="P125" t="s">
        <v>60</v>
      </c>
    </row>
    <row r="126" spans="1:16" x14ac:dyDescent="0.35">
      <c r="A126" t="s">
        <v>433</v>
      </c>
      <c r="B126" t="s">
        <v>434</v>
      </c>
      <c r="C126" t="str">
        <f>TEXT(Table1[[#This Row],[Order_Date]],"mmm")</f>
        <v>May</v>
      </c>
      <c r="D126">
        <f>YEAR(Table1[[#This Row],[Order_Date]])</f>
        <v>2025</v>
      </c>
      <c r="E126" t="s">
        <v>111</v>
      </c>
      <c r="F126" t="s">
        <v>112</v>
      </c>
      <c r="G126" t="s">
        <v>116</v>
      </c>
      <c r="H126" t="s">
        <v>435</v>
      </c>
      <c r="I126" t="s">
        <v>125</v>
      </c>
      <c r="J126" t="s">
        <v>83</v>
      </c>
      <c r="K126">
        <v>24</v>
      </c>
      <c r="L126">
        <v>104748</v>
      </c>
      <c r="M126">
        <v>87134</v>
      </c>
      <c r="N126">
        <v>17614</v>
      </c>
      <c r="O126" s="6">
        <f>Table1[[#This Row],[Profit]]/Table1[[#This Row],[Sales_Amount]]</f>
        <v>0.16815595524496887</v>
      </c>
      <c r="P126" t="s">
        <v>52</v>
      </c>
    </row>
    <row r="127" spans="1:16" x14ac:dyDescent="0.35">
      <c r="A127" t="s">
        <v>436</v>
      </c>
      <c r="B127" t="s">
        <v>310</v>
      </c>
      <c r="C127" t="str">
        <f>TEXT(Table1[[#This Row],[Order_Date]],"mmm")</f>
        <v>Apr</v>
      </c>
      <c r="D127">
        <f>YEAR(Table1[[#This Row],[Order_Date]])</f>
        <v>2025</v>
      </c>
      <c r="E127" t="s">
        <v>55</v>
      </c>
      <c r="F127" t="s">
        <v>56</v>
      </c>
      <c r="G127" t="s">
        <v>65</v>
      </c>
      <c r="H127" t="s">
        <v>437</v>
      </c>
      <c r="I127" t="s">
        <v>76</v>
      </c>
      <c r="J127" t="s">
        <v>77</v>
      </c>
      <c r="K127">
        <v>7</v>
      </c>
      <c r="L127">
        <v>80405</v>
      </c>
      <c r="M127">
        <v>59337</v>
      </c>
      <c r="N127">
        <v>21068</v>
      </c>
      <c r="O127" s="6">
        <f>Table1[[#This Row],[Profit]]/Table1[[#This Row],[Sales_Amount]]</f>
        <v>0.2620235060008706</v>
      </c>
      <c r="P127" t="s">
        <v>52</v>
      </c>
    </row>
    <row r="128" spans="1:16" x14ac:dyDescent="0.35">
      <c r="A128" t="s">
        <v>438</v>
      </c>
      <c r="B128" t="s">
        <v>262</v>
      </c>
      <c r="C128" t="str">
        <f>TEXT(Table1[[#This Row],[Order_Date]],"mmm")</f>
        <v>Mar</v>
      </c>
      <c r="D128">
        <f>YEAR(Table1[[#This Row],[Order_Date]])</f>
        <v>2025</v>
      </c>
      <c r="E128" t="s">
        <v>63</v>
      </c>
      <c r="F128" t="s">
        <v>104</v>
      </c>
      <c r="G128" t="s">
        <v>128</v>
      </c>
      <c r="H128" t="s">
        <v>439</v>
      </c>
      <c r="I128" t="s">
        <v>82</v>
      </c>
      <c r="J128" t="s">
        <v>83</v>
      </c>
      <c r="K128">
        <v>10</v>
      </c>
      <c r="L128">
        <v>53870</v>
      </c>
      <c r="M128">
        <v>34482</v>
      </c>
      <c r="N128">
        <v>19388</v>
      </c>
      <c r="O128" s="6">
        <f>Table1[[#This Row],[Profit]]/Table1[[#This Row],[Sales_Amount]]</f>
        <v>0.35990347131984407</v>
      </c>
      <c r="P128" t="s">
        <v>121</v>
      </c>
    </row>
    <row r="129" spans="1:16" x14ac:dyDescent="0.35">
      <c r="A129" t="s">
        <v>440</v>
      </c>
      <c r="B129" t="s">
        <v>428</v>
      </c>
      <c r="C129" t="str">
        <f>TEXT(Table1[[#This Row],[Order_Date]],"mmm")</f>
        <v>Jan</v>
      </c>
      <c r="D129">
        <f>YEAR(Table1[[#This Row],[Order_Date]])</f>
        <v>2025</v>
      </c>
      <c r="E129" t="s">
        <v>46</v>
      </c>
      <c r="F129" t="s">
        <v>47</v>
      </c>
      <c r="G129" t="s">
        <v>48</v>
      </c>
      <c r="H129" t="s">
        <v>441</v>
      </c>
      <c r="I129" t="s">
        <v>76</v>
      </c>
      <c r="J129" t="s">
        <v>77</v>
      </c>
      <c r="K129">
        <v>16</v>
      </c>
      <c r="L129">
        <v>50526</v>
      </c>
      <c r="M129">
        <v>40959</v>
      </c>
      <c r="N129">
        <v>9567</v>
      </c>
      <c r="O129" s="6">
        <f>Table1[[#This Row],[Profit]]/Table1[[#This Row],[Sales_Amount]]</f>
        <v>0.18934805842536515</v>
      </c>
      <c r="P129" t="s">
        <v>121</v>
      </c>
    </row>
    <row r="130" spans="1:16" x14ac:dyDescent="0.35">
      <c r="A130" t="s">
        <v>442</v>
      </c>
      <c r="B130" t="s">
        <v>443</v>
      </c>
      <c r="C130" t="str">
        <f>TEXT(Table1[[#This Row],[Order_Date]],"mmm")</f>
        <v>Dec</v>
      </c>
      <c r="D130">
        <f>YEAR(Table1[[#This Row],[Order_Date]])</f>
        <v>2025</v>
      </c>
      <c r="E130" t="s">
        <v>55</v>
      </c>
      <c r="F130" t="s">
        <v>188</v>
      </c>
      <c r="G130" t="s">
        <v>116</v>
      </c>
      <c r="H130" t="s">
        <v>444</v>
      </c>
      <c r="I130" t="s">
        <v>156</v>
      </c>
      <c r="J130" t="s">
        <v>157</v>
      </c>
      <c r="K130">
        <v>14</v>
      </c>
      <c r="L130">
        <v>62709</v>
      </c>
      <c r="M130">
        <v>37740</v>
      </c>
      <c r="N130">
        <v>24969</v>
      </c>
      <c r="O130" s="6">
        <f>Table1[[#This Row],[Profit]]/Table1[[#This Row],[Sales_Amount]]</f>
        <v>0.39817251112280533</v>
      </c>
      <c r="P130" t="s">
        <v>60</v>
      </c>
    </row>
    <row r="131" spans="1:16" x14ac:dyDescent="0.35">
      <c r="A131" t="s">
        <v>445</v>
      </c>
      <c r="B131" t="s">
        <v>446</v>
      </c>
      <c r="C131" t="str">
        <f>TEXT(Table1[[#This Row],[Order_Date]],"mmm")</f>
        <v>Apr</v>
      </c>
      <c r="D131">
        <f>YEAR(Table1[[#This Row],[Order_Date]])</f>
        <v>2025</v>
      </c>
      <c r="E131" t="s">
        <v>111</v>
      </c>
      <c r="F131" t="s">
        <v>112</v>
      </c>
      <c r="G131" t="s">
        <v>80</v>
      </c>
      <c r="H131" t="s">
        <v>447</v>
      </c>
      <c r="I131" t="s">
        <v>156</v>
      </c>
      <c r="J131" t="s">
        <v>157</v>
      </c>
      <c r="K131">
        <v>21</v>
      </c>
      <c r="L131">
        <v>86790</v>
      </c>
      <c r="M131">
        <v>63136</v>
      </c>
      <c r="N131">
        <v>23654</v>
      </c>
      <c r="O131" s="6">
        <f>Table1[[#This Row],[Profit]]/Table1[[#This Row],[Sales_Amount]]</f>
        <v>0.27254291969120864</v>
      </c>
      <c r="P131" t="s">
        <v>121</v>
      </c>
    </row>
    <row r="132" spans="1:16" x14ac:dyDescent="0.35">
      <c r="A132" t="s">
        <v>448</v>
      </c>
      <c r="B132" t="s">
        <v>449</v>
      </c>
      <c r="C132" t="str">
        <f>TEXT(Table1[[#This Row],[Order_Date]],"mmm")</f>
        <v>Jan</v>
      </c>
      <c r="D132">
        <f>YEAR(Table1[[#This Row],[Order_Date]])</f>
        <v>2025</v>
      </c>
      <c r="E132" t="s">
        <v>111</v>
      </c>
      <c r="F132" t="s">
        <v>112</v>
      </c>
      <c r="G132" t="s">
        <v>80</v>
      </c>
      <c r="H132" t="s">
        <v>450</v>
      </c>
      <c r="I132" t="s">
        <v>156</v>
      </c>
      <c r="J132" t="s">
        <v>157</v>
      </c>
      <c r="K132">
        <v>7</v>
      </c>
      <c r="L132">
        <v>117906</v>
      </c>
      <c r="M132">
        <v>81050</v>
      </c>
      <c r="N132">
        <v>36856</v>
      </c>
      <c r="O132" s="6">
        <f>Table1[[#This Row],[Profit]]/Table1[[#This Row],[Sales_Amount]]</f>
        <v>0.31258799382558988</v>
      </c>
      <c r="P132" t="s">
        <v>121</v>
      </c>
    </row>
    <row r="133" spans="1:16" x14ac:dyDescent="0.35">
      <c r="A133" t="s">
        <v>451</v>
      </c>
      <c r="B133" t="s">
        <v>259</v>
      </c>
      <c r="C133" t="str">
        <f>TEXT(Table1[[#This Row],[Order_Date]],"mmm")</f>
        <v>Nov</v>
      </c>
      <c r="D133">
        <f>YEAR(Table1[[#This Row],[Order_Date]])</f>
        <v>2025</v>
      </c>
      <c r="E133" t="s">
        <v>46</v>
      </c>
      <c r="F133" t="s">
        <v>47</v>
      </c>
      <c r="G133" t="s">
        <v>138</v>
      </c>
      <c r="H133" t="s">
        <v>452</v>
      </c>
      <c r="I133" t="s">
        <v>50</v>
      </c>
      <c r="J133" t="s">
        <v>51</v>
      </c>
      <c r="K133">
        <v>2</v>
      </c>
      <c r="L133">
        <v>47768</v>
      </c>
      <c r="M133">
        <v>28974</v>
      </c>
      <c r="N133">
        <v>18794</v>
      </c>
      <c r="O133" s="6">
        <f>Table1[[#This Row],[Profit]]/Table1[[#This Row],[Sales_Amount]]</f>
        <v>0.3934433093284207</v>
      </c>
      <c r="P133" t="s">
        <v>98</v>
      </c>
    </row>
    <row r="134" spans="1:16" x14ac:dyDescent="0.35">
      <c r="A134" t="s">
        <v>453</v>
      </c>
      <c r="B134" t="s">
        <v>454</v>
      </c>
      <c r="C134" t="str">
        <f>TEXT(Table1[[#This Row],[Order_Date]],"mmm")</f>
        <v>May</v>
      </c>
      <c r="D134">
        <f>YEAR(Table1[[#This Row],[Order_Date]])</f>
        <v>2025</v>
      </c>
      <c r="E134" t="s">
        <v>46</v>
      </c>
      <c r="F134" t="s">
        <v>47</v>
      </c>
      <c r="G134" t="s">
        <v>138</v>
      </c>
      <c r="H134" t="s">
        <v>455</v>
      </c>
      <c r="I134" t="s">
        <v>76</v>
      </c>
      <c r="J134" t="s">
        <v>77</v>
      </c>
      <c r="K134">
        <v>20</v>
      </c>
      <c r="L134">
        <v>89830</v>
      </c>
      <c r="M134">
        <v>65674</v>
      </c>
      <c r="N134">
        <v>24156</v>
      </c>
      <c r="O134" s="6">
        <f>Table1[[#This Row],[Profit]]/Table1[[#This Row],[Sales_Amount]]</f>
        <v>0.26890793721473893</v>
      </c>
      <c r="P134" t="s">
        <v>98</v>
      </c>
    </row>
    <row r="135" spans="1:16" x14ac:dyDescent="0.35">
      <c r="A135" t="s">
        <v>456</v>
      </c>
      <c r="B135" t="s">
        <v>457</v>
      </c>
      <c r="C135" t="str">
        <f>TEXT(Table1[[#This Row],[Order_Date]],"mmm")</f>
        <v>Mar</v>
      </c>
      <c r="D135">
        <f>YEAR(Table1[[#This Row],[Order_Date]])</f>
        <v>2025</v>
      </c>
      <c r="E135" t="s">
        <v>46</v>
      </c>
      <c r="F135" t="s">
        <v>74</v>
      </c>
      <c r="G135" t="s">
        <v>57</v>
      </c>
      <c r="H135" t="s">
        <v>458</v>
      </c>
      <c r="I135" t="s">
        <v>87</v>
      </c>
      <c r="J135" t="s">
        <v>88</v>
      </c>
      <c r="K135">
        <v>24</v>
      </c>
      <c r="L135">
        <v>23138</v>
      </c>
      <c r="M135">
        <v>12714</v>
      </c>
      <c r="N135">
        <v>10424</v>
      </c>
      <c r="O135" s="6">
        <f>Table1[[#This Row],[Profit]]/Table1[[#This Row],[Sales_Amount]]</f>
        <v>0.45051430547151872</v>
      </c>
      <c r="P135" t="s">
        <v>98</v>
      </c>
    </row>
    <row r="136" spans="1:16" x14ac:dyDescent="0.35">
      <c r="A136" t="s">
        <v>459</v>
      </c>
      <c r="B136" t="s">
        <v>460</v>
      </c>
      <c r="C136" t="str">
        <f>TEXT(Table1[[#This Row],[Order_Date]],"mmm")</f>
        <v>Nov</v>
      </c>
      <c r="D136">
        <f>YEAR(Table1[[#This Row],[Order_Date]])</f>
        <v>2025</v>
      </c>
      <c r="E136" t="s">
        <v>63</v>
      </c>
      <c r="F136" t="s">
        <v>64</v>
      </c>
      <c r="G136" t="s">
        <v>138</v>
      </c>
      <c r="H136" t="s">
        <v>461</v>
      </c>
      <c r="I136" t="s">
        <v>87</v>
      </c>
      <c r="J136" t="s">
        <v>88</v>
      </c>
      <c r="K136">
        <v>12</v>
      </c>
      <c r="L136">
        <v>73974</v>
      </c>
      <c r="M136">
        <v>47455</v>
      </c>
      <c r="N136">
        <v>26519</v>
      </c>
      <c r="O136" s="6">
        <f>Table1[[#This Row],[Profit]]/Table1[[#This Row],[Sales_Amount]]</f>
        <v>0.35849082109930513</v>
      </c>
      <c r="P136" t="s">
        <v>121</v>
      </c>
    </row>
    <row r="137" spans="1:16" x14ac:dyDescent="0.35">
      <c r="A137" t="s">
        <v>462</v>
      </c>
      <c r="B137" t="s">
        <v>463</v>
      </c>
      <c r="C137" t="str">
        <f>TEXT(Table1[[#This Row],[Order_Date]],"mmm")</f>
        <v>Apr</v>
      </c>
      <c r="D137">
        <f>YEAR(Table1[[#This Row],[Order_Date]])</f>
        <v>2025</v>
      </c>
      <c r="E137" t="s">
        <v>55</v>
      </c>
      <c r="F137" t="s">
        <v>188</v>
      </c>
      <c r="G137" t="s">
        <v>48</v>
      </c>
      <c r="H137" t="s">
        <v>464</v>
      </c>
      <c r="I137" t="s">
        <v>125</v>
      </c>
      <c r="J137" t="s">
        <v>83</v>
      </c>
      <c r="K137">
        <v>8</v>
      </c>
      <c r="L137">
        <v>56442</v>
      </c>
      <c r="M137">
        <v>39344</v>
      </c>
      <c r="N137">
        <v>17098</v>
      </c>
      <c r="O137" s="6">
        <f>Table1[[#This Row],[Profit]]/Table1[[#This Row],[Sales_Amount]]</f>
        <v>0.30293044186952978</v>
      </c>
      <c r="P137" t="s">
        <v>52</v>
      </c>
    </row>
    <row r="138" spans="1:16" x14ac:dyDescent="0.35">
      <c r="A138" t="s">
        <v>465</v>
      </c>
      <c r="B138" t="s">
        <v>151</v>
      </c>
      <c r="C138" t="str">
        <f>TEXT(Table1[[#This Row],[Order_Date]],"mmm")</f>
        <v>May</v>
      </c>
      <c r="D138">
        <f>YEAR(Table1[[#This Row],[Order_Date]])</f>
        <v>2025</v>
      </c>
      <c r="E138" t="s">
        <v>111</v>
      </c>
      <c r="F138" t="s">
        <v>112</v>
      </c>
      <c r="G138" t="s">
        <v>57</v>
      </c>
      <c r="H138" t="s">
        <v>466</v>
      </c>
      <c r="I138" t="s">
        <v>59</v>
      </c>
      <c r="J138" t="s">
        <v>51</v>
      </c>
      <c r="K138">
        <v>20</v>
      </c>
      <c r="L138">
        <v>63532</v>
      </c>
      <c r="M138">
        <v>35956</v>
      </c>
      <c r="N138">
        <v>27576</v>
      </c>
      <c r="O138" s="6">
        <f>Table1[[#This Row],[Profit]]/Table1[[#This Row],[Sales_Amount]]</f>
        <v>0.43404898318957374</v>
      </c>
      <c r="P138" t="s">
        <v>60</v>
      </c>
    </row>
    <row r="139" spans="1:16" x14ac:dyDescent="0.35">
      <c r="A139" t="s">
        <v>467</v>
      </c>
      <c r="B139" t="s">
        <v>468</v>
      </c>
      <c r="C139" t="str">
        <f>TEXT(Table1[[#This Row],[Order_Date]],"mmm")</f>
        <v>Apr</v>
      </c>
      <c r="D139">
        <f>YEAR(Table1[[#This Row],[Order_Date]])</f>
        <v>2025</v>
      </c>
      <c r="E139" t="s">
        <v>46</v>
      </c>
      <c r="F139" t="s">
        <v>47</v>
      </c>
      <c r="G139" t="s">
        <v>116</v>
      </c>
      <c r="H139" t="s">
        <v>469</v>
      </c>
      <c r="I139" t="s">
        <v>143</v>
      </c>
      <c r="J139" t="s">
        <v>51</v>
      </c>
      <c r="K139">
        <v>2</v>
      </c>
      <c r="L139">
        <v>63107</v>
      </c>
      <c r="M139">
        <v>53128</v>
      </c>
      <c r="N139">
        <v>9979</v>
      </c>
      <c r="O139" s="6">
        <f>Table1[[#This Row],[Profit]]/Table1[[#This Row],[Sales_Amount]]</f>
        <v>0.15812825835485761</v>
      </c>
      <c r="P139" t="s">
        <v>121</v>
      </c>
    </row>
    <row r="140" spans="1:16" x14ac:dyDescent="0.35">
      <c r="A140" t="s">
        <v>470</v>
      </c>
      <c r="B140" t="s">
        <v>471</v>
      </c>
      <c r="C140" t="str">
        <f>TEXT(Table1[[#This Row],[Order_Date]],"mmm")</f>
        <v>Mar</v>
      </c>
      <c r="D140">
        <f>YEAR(Table1[[#This Row],[Order_Date]])</f>
        <v>2025</v>
      </c>
      <c r="E140" t="s">
        <v>46</v>
      </c>
      <c r="F140" t="s">
        <v>47</v>
      </c>
      <c r="G140" t="s">
        <v>80</v>
      </c>
      <c r="H140" t="s">
        <v>472</v>
      </c>
      <c r="I140" t="s">
        <v>82</v>
      </c>
      <c r="J140" t="s">
        <v>83</v>
      </c>
      <c r="K140">
        <v>12</v>
      </c>
      <c r="L140">
        <v>74346</v>
      </c>
      <c r="M140">
        <v>35689</v>
      </c>
      <c r="N140">
        <v>38657</v>
      </c>
      <c r="O140" s="6">
        <f>Table1[[#This Row],[Profit]]/Table1[[#This Row],[Sales_Amount]]</f>
        <v>0.51996072418152961</v>
      </c>
      <c r="P140" t="s">
        <v>121</v>
      </c>
    </row>
    <row r="141" spans="1:16" x14ac:dyDescent="0.35">
      <c r="A141" t="s">
        <v>473</v>
      </c>
      <c r="B141" t="s">
        <v>474</v>
      </c>
      <c r="C141" t="str">
        <f>TEXT(Table1[[#This Row],[Order_Date]],"mmm")</f>
        <v>Nov</v>
      </c>
      <c r="D141">
        <f>YEAR(Table1[[#This Row],[Order_Date]])</f>
        <v>2025</v>
      </c>
      <c r="E141" t="s">
        <v>111</v>
      </c>
      <c r="F141" t="s">
        <v>169</v>
      </c>
      <c r="G141" t="s">
        <v>138</v>
      </c>
      <c r="H141" t="s">
        <v>475</v>
      </c>
      <c r="I141" t="s">
        <v>143</v>
      </c>
      <c r="J141" t="s">
        <v>51</v>
      </c>
      <c r="K141">
        <v>4</v>
      </c>
      <c r="L141">
        <v>74953</v>
      </c>
      <c r="M141">
        <v>48973</v>
      </c>
      <c r="N141">
        <v>25980</v>
      </c>
      <c r="O141" s="6">
        <f>Table1[[#This Row],[Profit]]/Table1[[#This Row],[Sales_Amount]]</f>
        <v>0.34661721345376434</v>
      </c>
      <c r="P141" t="s">
        <v>98</v>
      </c>
    </row>
    <row r="142" spans="1:16" x14ac:dyDescent="0.35">
      <c r="A142" t="s">
        <v>476</v>
      </c>
      <c r="B142" t="s">
        <v>477</v>
      </c>
      <c r="C142" t="str">
        <f>TEXT(Table1[[#This Row],[Order_Date]],"mmm")</f>
        <v>Oct</v>
      </c>
      <c r="D142">
        <f>YEAR(Table1[[#This Row],[Order_Date]])</f>
        <v>2025</v>
      </c>
      <c r="E142" t="s">
        <v>63</v>
      </c>
      <c r="F142" t="s">
        <v>104</v>
      </c>
      <c r="G142" t="s">
        <v>138</v>
      </c>
      <c r="H142" t="s">
        <v>478</v>
      </c>
      <c r="I142" t="s">
        <v>76</v>
      </c>
      <c r="J142" t="s">
        <v>77</v>
      </c>
      <c r="K142">
        <v>4</v>
      </c>
      <c r="L142">
        <v>15496</v>
      </c>
      <c r="M142">
        <v>9208</v>
      </c>
      <c r="N142">
        <v>6288</v>
      </c>
      <c r="O142" s="6">
        <f>Table1[[#This Row],[Profit]]/Table1[[#This Row],[Sales_Amount]]</f>
        <v>0.40578213732576146</v>
      </c>
      <c r="P142" t="s">
        <v>98</v>
      </c>
    </row>
    <row r="143" spans="1:16" x14ac:dyDescent="0.35">
      <c r="A143" t="s">
        <v>479</v>
      </c>
      <c r="B143" t="s">
        <v>45</v>
      </c>
      <c r="C143" t="str">
        <f>TEXT(Table1[[#This Row],[Order_Date]],"mmm")</f>
        <v>Jul</v>
      </c>
      <c r="D143">
        <f>YEAR(Table1[[#This Row],[Order_Date]])</f>
        <v>2025</v>
      </c>
      <c r="E143" t="s">
        <v>63</v>
      </c>
      <c r="F143" t="s">
        <v>64</v>
      </c>
      <c r="G143" t="s">
        <v>128</v>
      </c>
      <c r="H143" t="s">
        <v>480</v>
      </c>
      <c r="I143" t="s">
        <v>82</v>
      </c>
      <c r="J143" t="s">
        <v>83</v>
      </c>
      <c r="K143">
        <v>20</v>
      </c>
      <c r="L143">
        <v>92817</v>
      </c>
      <c r="M143">
        <v>73156</v>
      </c>
      <c r="N143">
        <v>19661</v>
      </c>
      <c r="O143" s="6">
        <f>Table1[[#This Row],[Profit]]/Table1[[#This Row],[Sales_Amount]]</f>
        <v>0.21182541991230056</v>
      </c>
      <c r="P143" t="s">
        <v>52</v>
      </c>
    </row>
    <row r="144" spans="1:16" x14ac:dyDescent="0.35">
      <c r="A144" t="s">
        <v>481</v>
      </c>
      <c r="B144" t="s">
        <v>482</v>
      </c>
      <c r="C144" t="str">
        <f>TEXT(Table1[[#This Row],[Order_Date]],"mmm")</f>
        <v>May</v>
      </c>
      <c r="D144">
        <f>YEAR(Table1[[#This Row],[Order_Date]])</f>
        <v>2025</v>
      </c>
      <c r="E144" t="s">
        <v>55</v>
      </c>
      <c r="F144" t="s">
        <v>188</v>
      </c>
      <c r="G144" t="s">
        <v>138</v>
      </c>
      <c r="H144" t="s">
        <v>483</v>
      </c>
      <c r="I144" t="s">
        <v>50</v>
      </c>
      <c r="J144" t="s">
        <v>51</v>
      </c>
      <c r="K144">
        <v>12</v>
      </c>
      <c r="L144">
        <v>80675</v>
      </c>
      <c r="M144">
        <v>40639</v>
      </c>
      <c r="N144">
        <v>40036</v>
      </c>
      <c r="O144" s="6">
        <f>Table1[[#This Row],[Profit]]/Table1[[#This Row],[Sales_Amount]]</f>
        <v>0.49626278277037494</v>
      </c>
      <c r="P144" t="s">
        <v>121</v>
      </c>
    </row>
    <row r="145" spans="1:16" x14ac:dyDescent="0.35">
      <c r="A145" t="s">
        <v>484</v>
      </c>
      <c r="B145" t="s">
        <v>485</v>
      </c>
      <c r="C145" t="str">
        <f>TEXT(Table1[[#This Row],[Order_Date]],"mmm")</f>
        <v>May</v>
      </c>
      <c r="D145">
        <f>YEAR(Table1[[#This Row],[Order_Date]])</f>
        <v>2025</v>
      </c>
      <c r="E145" t="s">
        <v>63</v>
      </c>
      <c r="F145" t="s">
        <v>64</v>
      </c>
      <c r="G145" t="s">
        <v>48</v>
      </c>
      <c r="H145" t="s">
        <v>486</v>
      </c>
      <c r="I145" t="s">
        <v>76</v>
      </c>
      <c r="J145" t="s">
        <v>77</v>
      </c>
      <c r="K145">
        <v>9</v>
      </c>
      <c r="L145">
        <v>31522</v>
      </c>
      <c r="M145">
        <v>15598</v>
      </c>
      <c r="N145">
        <v>15924</v>
      </c>
      <c r="O145" s="6">
        <f>Table1[[#This Row],[Profit]]/Table1[[#This Row],[Sales_Amount]]</f>
        <v>0.50517099168834467</v>
      </c>
      <c r="P145" t="s">
        <v>98</v>
      </c>
    </row>
    <row r="146" spans="1:16" x14ac:dyDescent="0.35">
      <c r="A146" t="s">
        <v>487</v>
      </c>
      <c r="B146" t="s">
        <v>165</v>
      </c>
      <c r="C146" t="str">
        <f>TEXT(Table1[[#This Row],[Order_Date]],"mmm")</f>
        <v>Mar</v>
      </c>
      <c r="D146">
        <f>YEAR(Table1[[#This Row],[Order_Date]])</f>
        <v>2025</v>
      </c>
      <c r="E146" t="s">
        <v>46</v>
      </c>
      <c r="F146" t="s">
        <v>74</v>
      </c>
      <c r="G146" t="s">
        <v>138</v>
      </c>
      <c r="H146" t="s">
        <v>488</v>
      </c>
      <c r="I146" t="s">
        <v>76</v>
      </c>
      <c r="J146" t="s">
        <v>77</v>
      </c>
      <c r="K146">
        <v>6</v>
      </c>
      <c r="L146">
        <v>68060</v>
      </c>
      <c r="M146">
        <v>45099</v>
      </c>
      <c r="N146">
        <v>22961</v>
      </c>
      <c r="O146" s="6">
        <f>Table1[[#This Row],[Profit]]/Table1[[#This Row],[Sales_Amount]]</f>
        <v>0.33736409050837496</v>
      </c>
      <c r="P146" t="s">
        <v>52</v>
      </c>
    </row>
    <row r="147" spans="1:16" x14ac:dyDescent="0.35">
      <c r="A147" t="s">
        <v>489</v>
      </c>
      <c r="B147" t="s">
        <v>490</v>
      </c>
      <c r="C147" t="str">
        <f>TEXT(Table1[[#This Row],[Order_Date]],"mmm")</f>
        <v>Oct</v>
      </c>
      <c r="D147">
        <f>YEAR(Table1[[#This Row],[Order_Date]])</f>
        <v>2025</v>
      </c>
      <c r="E147" t="s">
        <v>55</v>
      </c>
      <c r="F147" t="s">
        <v>188</v>
      </c>
      <c r="G147" t="s">
        <v>138</v>
      </c>
      <c r="H147" t="s">
        <v>491</v>
      </c>
      <c r="I147" t="s">
        <v>67</v>
      </c>
      <c r="J147" t="s">
        <v>51</v>
      </c>
      <c r="K147">
        <v>4</v>
      </c>
      <c r="L147">
        <v>5373</v>
      </c>
      <c r="M147">
        <v>3758</v>
      </c>
      <c r="N147">
        <v>1615</v>
      </c>
      <c r="O147" s="6">
        <f>Table1[[#This Row],[Profit]]/Table1[[#This Row],[Sales_Amount]]</f>
        <v>0.30057695886841618</v>
      </c>
      <c r="P147" t="s">
        <v>98</v>
      </c>
    </row>
    <row r="148" spans="1:16" x14ac:dyDescent="0.35">
      <c r="A148" t="s">
        <v>492</v>
      </c>
      <c r="B148" t="s">
        <v>277</v>
      </c>
      <c r="C148" t="str">
        <f>TEXT(Table1[[#This Row],[Order_Date]],"mmm")</f>
        <v>May</v>
      </c>
      <c r="D148">
        <f>YEAR(Table1[[#This Row],[Order_Date]])</f>
        <v>2025</v>
      </c>
      <c r="E148" t="s">
        <v>111</v>
      </c>
      <c r="F148" t="s">
        <v>112</v>
      </c>
      <c r="G148" t="s">
        <v>116</v>
      </c>
      <c r="H148" t="s">
        <v>493</v>
      </c>
      <c r="I148" t="s">
        <v>50</v>
      </c>
      <c r="J148" t="s">
        <v>51</v>
      </c>
      <c r="K148">
        <v>10</v>
      </c>
      <c r="L148">
        <v>61118</v>
      </c>
      <c r="M148">
        <v>46134</v>
      </c>
      <c r="N148">
        <v>14984</v>
      </c>
      <c r="O148" s="6">
        <f>Table1[[#This Row],[Profit]]/Table1[[#This Row],[Sales_Amount]]</f>
        <v>0.24516509048070945</v>
      </c>
      <c r="P148" t="s">
        <v>98</v>
      </c>
    </row>
    <row r="149" spans="1:16" x14ac:dyDescent="0.35">
      <c r="A149" t="s">
        <v>494</v>
      </c>
      <c r="B149" t="s">
        <v>212</v>
      </c>
      <c r="C149" t="str">
        <f>TEXT(Table1[[#This Row],[Order_Date]],"mmm")</f>
        <v>Feb</v>
      </c>
      <c r="D149">
        <f>YEAR(Table1[[#This Row],[Order_Date]])</f>
        <v>2025</v>
      </c>
      <c r="E149" t="s">
        <v>111</v>
      </c>
      <c r="F149" t="s">
        <v>112</v>
      </c>
      <c r="G149" t="s">
        <v>48</v>
      </c>
      <c r="H149" t="s">
        <v>495</v>
      </c>
      <c r="I149" t="s">
        <v>76</v>
      </c>
      <c r="J149" t="s">
        <v>77</v>
      </c>
      <c r="K149">
        <v>25</v>
      </c>
      <c r="L149">
        <v>14943</v>
      </c>
      <c r="M149">
        <v>7027</v>
      </c>
      <c r="N149">
        <v>7916</v>
      </c>
      <c r="O149" s="6">
        <f>Table1[[#This Row],[Profit]]/Table1[[#This Row],[Sales_Amount]]</f>
        <v>0.52974636953757614</v>
      </c>
      <c r="P149" t="s">
        <v>121</v>
      </c>
    </row>
    <row r="150" spans="1:16" x14ac:dyDescent="0.35">
      <c r="A150" t="s">
        <v>496</v>
      </c>
      <c r="B150" t="s">
        <v>497</v>
      </c>
      <c r="C150" t="str">
        <f>TEXT(Table1[[#This Row],[Order_Date]],"mmm")</f>
        <v>Mar</v>
      </c>
      <c r="D150">
        <f>YEAR(Table1[[#This Row],[Order_Date]])</f>
        <v>2025</v>
      </c>
      <c r="E150" t="s">
        <v>55</v>
      </c>
      <c r="F150" t="s">
        <v>56</v>
      </c>
      <c r="G150" t="s">
        <v>116</v>
      </c>
      <c r="H150" t="s">
        <v>498</v>
      </c>
      <c r="I150" t="s">
        <v>87</v>
      </c>
      <c r="J150" t="s">
        <v>88</v>
      </c>
      <c r="K150">
        <v>18</v>
      </c>
      <c r="L150">
        <v>72962</v>
      </c>
      <c r="M150">
        <v>33138</v>
      </c>
      <c r="N150">
        <v>39824</v>
      </c>
      <c r="O150" s="6">
        <f>Table1[[#This Row],[Profit]]/Table1[[#This Row],[Sales_Amount]]</f>
        <v>0.54581837120692966</v>
      </c>
      <c r="P150" t="s">
        <v>60</v>
      </c>
    </row>
    <row r="151" spans="1:16" x14ac:dyDescent="0.35">
      <c r="A151" t="s">
        <v>499</v>
      </c>
      <c r="B151" t="s">
        <v>500</v>
      </c>
      <c r="C151" t="str">
        <f>TEXT(Table1[[#This Row],[Order_Date]],"mmm")</f>
        <v>Mar</v>
      </c>
      <c r="D151">
        <f>YEAR(Table1[[#This Row],[Order_Date]])</f>
        <v>2025</v>
      </c>
      <c r="E151" t="s">
        <v>63</v>
      </c>
      <c r="F151" t="s">
        <v>64</v>
      </c>
      <c r="G151" t="s">
        <v>70</v>
      </c>
      <c r="H151" t="s">
        <v>501</v>
      </c>
      <c r="I151" t="s">
        <v>82</v>
      </c>
      <c r="J151" t="s">
        <v>83</v>
      </c>
      <c r="K151">
        <v>7</v>
      </c>
      <c r="L151">
        <v>99841</v>
      </c>
      <c r="M151">
        <v>59701</v>
      </c>
      <c r="N151">
        <v>40140</v>
      </c>
      <c r="O151" s="6">
        <f>Table1[[#This Row],[Profit]]/Table1[[#This Row],[Sales_Amount]]</f>
        <v>0.40203924239540872</v>
      </c>
      <c r="P151" t="s">
        <v>98</v>
      </c>
    </row>
    <row r="152" spans="1:16" x14ac:dyDescent="0.35">
      <c r="A152" t="s">
        <v>502</v>
      </c>
      <c r="B152" t="s">
        <v>503</v>
      </c>
      <c r="C152" t="str">
        <f>TEXT(Table1[[#This Row],[Order_Date]],"mmm")</f>
        <v>Dec</v>
      </c>
      <c r="D152">
        <f>YEAR(Table1[[#This Row],[Order_Date]])</f>
        <v>2025</v>
      </c>
      <c r="E152" t="s">
        <v>46</v>
      </c>
      <c r="F152" t="s">
        <v>47</v>
      </c>
      <c r="G152" t="s">
        <v>128</v>
      </c>
      <c r="H152" t="s">
        <v>504</v>
      </c>
      <c r="I152" t="s">
        <v>125</v>
      </c>
      <c r="J152" t="s">
        <v>83</v>
      </c>
      <c r="K152">
        <v>25</v>
      </c>
      <c r="L152">
        <v>81937</v>
      </c>
      <c r="M152">
        <v>39246</v>
      </c>
      <c r="N152">
        <v>42691</v>
      </c>
      <c r="O152" s="6">
        <f>Table1[[#This Row],[Profit]]/Table1[[#This Row],[Sales_Amount]]</f>
        <v>0.52102224880090797</v>
      </c>
      <c r="P152" t="s">
        <v>121</v>
      </c>
    </row>
    <row r="153" spans="1:16" x14ac:dyDescent="0.35">
      <c r="A153" t="s">
        <v>505</v>
      </c>
      <c r="B153" t="s">
        <v>506</v>
      </c>
      <c r="C153" t="str">
        <f>TEXT(Table1[[#This Row],[Order_Date]],"mmm")</f>
        <v>May</v>
      </c>
      <c r="D153">
        <f>YEAR(Table1[[#This Row],[Order_Date]])</f>
        <v>2025</v>
      </c>
      <c r="E153" t="s">
        <v>55</v>
      </c>
      <c r="F153" t="s">
        <v>56</v>
      </c>
      <c r="G153" t="s">
        <v>70</v>
      </c>
      <c r="H153" t="s">
        <v>507</v>
      </c>
      <c r="I153" t="s">
        <v>87</v>
      </c>
      <c r="J153" t="s">
        <v>88</v>
      </c>
      <c r="K153">
        <v>17</v>
      </c>
      <c r="L153">
        <v>4662</v>
      </c>
      <c r="M153">
        <v>2142</v>
      </c>
      <c r="N153">
        <v>2520</v>
      </c>
      <c r="O153" s="6">
        <f>Table1[[#This Row],[Profit]]/Table1[[#This Row],[Sales_Amount]]</f>
        <v>0.54054054054054057</v>
      </c>
      <c r="P153" t="s">
        <v>98</v>
      </c>
    </row>
    <row r="154" spans="1:16" x14ac:dyDescent="0.35">
      <c r="A154" t="s">
        <v>508</v>
      </c>
      <c r="B154" t="s">
        <v>172</v>
      </c>
      <c r="C154" t="str">
        <f>TEXT(Table1[[#This Row],[Order_Date]],"mmm")</f>
        <v>Jun</v>
      </c>
      <c r="D154">
        <f>YEAR(Table1[[#This Row],[Order_Date]])</f>
        <v>2025</v>
      </c>
      <c r="E154" t="s">
        <v>63</v>
      </c>
      <c r="F154" t="s">
        <v>104</v>
      </c>
      <c r="G154" t="s">
        <v>116</v>
      </c>
      <c r="H154" t="s">
        <v>509</v>
      </c>
      <c r="I154" t="s">
        <v>125</v>
      </c>
      <c r="J154" t="s">
        <v>83</v>
      </c>
      <c r="K154">
        <v>8</v>
      </c>
      <c r="L154">
        <v>3886</v>
      </c>
      <c r="M154">
        <v>1812</v>
      </c>
      <c r="N154">
        <v>2074</v>
      </c>
      <c r="O154" s="6">
        <f>Table1[[#This Row],[Profit]]/Table1[[#This Row],[Sales_Amount]]</f>
        <v>0.5337107565620175</v>
      </c>
      <c r="P154" t="s">
        <v>52</v>
      </c>
    </row>
    <row r="155" spans="1:16" x14ac:dyDescent="0.35">
      <c r="A155" t="s">
        <v>510</v>
      </c>
      <c r="B155" t="s">
        <v>256</v>
      </c>
      <c r="C155" t="str">
        <f>TEXT(Table1[[#This Row],[Order_Date]],"mmm")</f>
        <v>Jun</v>
      </c>
      <c r="D155">
        <f>YEAR(Table1[[#This Row],[Order_Date]])</f>
        <v>2025</v>
      </c>
      <c r="E155" t="s">
        <v>111</v>
      </c>
      <c r="F155" t="s">
        <v>169</v>
      </c>
      <c r="G155" t="s">
        <v>116</v>
      </c>
      <c r="H155" t="s">
        <v>511</v>
      </c>
      <c r="I155" t="s">
        <v>87</v>
      </c>
      <c r="J155" t="s">
        <v>88</v>
      </c>
      <c r="K155">
        <v>15</v>
      </c>
      <c r="L155">
        <v>87778</v>
      </c>
      <c r="M155">
        <v>53644</v>
      </c>
      <c r="N155">
        <v>34134</v>
      </c>
      <c r="O155" s="6">
        <f>Table1[[#This Row],[Profit]]/Table1[[#This Row],[Sales_Amount]]</f>
        <v>0.38886736995602544</v>
      </c>
      <c r="P155" t="s">
        <v>60</v>
      </c>
    </row>
    <row r="156" spans="1:16" x14ac:dyDescent="0.35">
      <c r="A156" t="s">
        <v>512</v>
      </c>
      <c r="B156" t="s">
        <v>229</v>
      </c>
      <c r="C156" t="str">
        <f>TEXT(Table1[[#This Row],[Order_Date]],"mmm")</f>
        <v>Sep</v>
      </c>
      <c r="D156">
        <f>YEAR(Table1[[#This Row],[Order_Date]])</f>
        <v>2025</v>
      </c>
      <c r="E156" t="s">
        <v>63</v>
      </c>
      <c r="F156" t="s">
        <v>64</v>
      </c>
      <c r="G156" t="s">
        <v>116</v>
      </c>
      <c r="H156" t="s">
        <v>513</v>
      </c>
      <c r="I156" t="s">
        <v>125</v>
      </c>
      <c r="J156" t="s">
        <v>83</v>
      </c>
      <c r="K156">
        <v>18</v>
      </c>
      <c r="L156">
        <v>59335</v>
      </c>
      <c r="M156">
        <v>42521</v>
      </c>
      <c r="N156">
        <v>16814</v>
      </c>
      <c r="O156" s="6">
        <f>Table1[[#This Row],[Profit]]/Table1[[#This Row],[Sales_Amount]]</f>
        <v>0.28337406252633351</v>
      </c>
      <c r="P156" t="s">
        <v>52</v>
      </c>
    </row>
    <row r="157" spans="1:16" x14ac:dyDescent="0.35">
      <c r="A157" t="s">
        <v>514</v>
      </c>
      <c r="B157" t="s">
        <v>515</v>
      </c>
      <c r="C157" t="str">
        <f>TEXT(Table1[[#This Row],[Order_Date]],"mmm")</f>
        <v>Nov</v>
      </c>
      <c r="D157">
        <f>YEAR(Table1[[#This Row],[Order_Date]])</f>
        <v>2025</v>
      </c>
      <c r="E157" t="s">
        <v>46</v>
      </c>
      <c r="F157" t="s">
        <v>74</v>
      </c>
      <c r="G157" t="s">
        <v>70</v>
      </c>
      <c r="H157" t="s">
        <v>516</v>
      </c>
      <c r="I157" t="s">
        <v>76</v>
      </c>
      <c r="J157" t="s">
        <v>77</v>
      </c>
      <c r="K157">
        <v>5</v>
      </c>
      <c r="L157">
        <v>98262</v>
      </c>
      <c r="M157">
        <v>69752</v>
      </c>
      <c r="N157">
        <v>28510</v>
      </c>
      <c r="O157" s="6">
        <f>Table1[[#This Row],[Profit]]/Table1[[#This Row],[Sales_Amount]]</f>
        <v>0.29014267977448049</v>
      </c>
      <c r="P157" t="s">
        <v>98</v>
      </c>
    </row>
    <row r="158" spans="1:16" x14ac:dyDescent="0.35">
      <c r="A158" t="s">
        <v>517</v>
      </c>
      <c r="B158" t="s">
        <v>518</v>
      </c>
      <c r="C158" t="str">
        <f>TEXT(Table1[[#This Row],[Order_Date]],"mmm")</f>
        <v>Nov</v>
      </c>
      <c r="D158">
        <f>YEAR(Table1[[#This Row],[Order_Date]])</f>
        <v>2025</v>
      </c>
      <c r="E158" t="s">
        <v>63</v>
      </c>
      <c r="F158" t="s">
        <v>104</v>
      </c>
      <c r="G158" t="s">
        <v>70</v>
      </c>
      <c r="H158" t="s">
        <v>519</v>
      </c>
      <c r="I158" t="s">
        <v>156</v>
      </c>
      <c r="J158" t="s">
        <v>157</v>
      </c>
      <c r="K158">
        <v>14</v>
      </c>
      <c r="L158">
        <v>83596</v>
      </c>
      <c r="M158">
        <v>70929</v>
      </c>
      <c r="N158">
        <v>12667</v>
      </c>
      <c r="O158" s="6">
        <f>Table1[[#This Row],[Profit]]/Table1[[#This Row],[Sales_Amount]]</f>
        <v>0.15152638882243169</v>
      </c>
      <c r="P158" t="s">
        <v>98</v>
      </c>
    </row>
    <row r="159" spans="1:16" x14ac:dyDescent="0.35">
      <c r="A159" t="s">
        <v>520</v>
      </c>
      <c r="B159" t="s">
        <v>259</v>
      </c>
      <c r="C159" t="str">
        <f>TEXT(Table1[[#This Row],[Order_Date]],"mmm")</f>
        <v>Nov</v>
      </c>
      <c r="D159">
        <f>YEAR(Table1[[#This Row],[Order_Date]])</f>
        <v>2025</v>
      </c>
      <c r="E159" t="s">
        <v>111</v>
      </c>
      <c r="F159" t="s">
        <v>169</v>
      </c>
      <c r="G159" t="s">
        <v>80</v>
      </c>
      <c r="H159" t="s">
        <v>521</v>
      </c>
      <c r="I159" t="s">
        <v>59</v>
      </c>
      <c r="J159" t="s">
        <v>51</v>
      </c>
      <c r="K159">
        <v>10</v>
      </c>
      <c r="L159">
        <v>108874</v>
      </c>
      <c r="M159">
        <v>90854</v>
      </c>
      <c r="N159">
        <v>18020</v>
      </c>
      <c r="O159" s="6">
        <f>Table1[[#This Row],[Profit]]/Table1[[#This Row],[Sales_Amount]]</f>
        <v>0.16551242720943476</v>
      </c>
      <c r="P159" t="s">
        <v>60</v>
      </c>
    </row>
    <row r="160" spans="1:16" x14ac:dyDescent="0.35">
      <c r="A160" t="s">
        <v>522</v>
      </c>
      <c r="B160" t="s">
        <v>523</v>
      </c>
      <c r="C160" t="str">
        <f>TEXT(Table1[[#This Row],[Order_Date]],"mmm")</f>
        <v>Mar</v>
      </c>
      <c r="D160">
        <f>YEAR(Table1[[#This Row],[Order_Date]])</f>
        <v>2025</v>
      </c>
      <c r="E160" t="s">
        <v>46</v>
      </c>
      <c r="F160" t="s">
        <v>74</v>
      </c>
      <c r="G160" t="s">
        <v>65</v>
      </c>
      <c r="H160" t="s">
        <v>524</v>
      </c>
      <c r="I160" t="s">
        <v>59</v>
      </c>
      <c r="J160" t="s">
        <v>51</v>
      </c>
      <c r="K160">
        <v>5</v>
      </c>
      <c r="L160">
        <v>64192</v>
      </c>
      <c r="M160">
        <v>50486</v>
      </c>
      <c r="N160">
        <v>13706</v>
      </c>
      <c r="O160" s="6">
        <f>Table1[[#This Row],[Profit]]/Table1[[#This Row],[Sales_Amount]]</f>
        <v>0.21351570289132601</v>
      </c>
      <c r="P160" t="s">
        <v>52</v>
      </c>
    </row>
    <row r="161" spans="1:16" x14ac:dyDescent="0.35">
      <c r="A161" t="s">
        <v>525</v>
      </c>
      <c r="B161" t="s">
        <v>175</v>
      </c>
      <c r="C161" t="str">
        <f>TEXT(Table1[[#This Row],[Order_Date]],"mmm")</f>
        <v>Jan</v>
      </c>
      <c r="D161">
        <f>YEAR(Table1[[#This Row],[Order_Date]])</f>
        <v>2025</v>
      </c>
      <c r="E161" t="s">
        <v>63</v>
      </c>
      <c r="F161" t="s">
        <v>104</v>
      </c>
      <c r="G161" t="s">
        <v>57</v>
      </c>
      <c r="H161" t="s">
        <v>526</v>
      </c>
      <c r="I161" t="s">
        <v>82</v>
      </c>
      <c r="J161" t="s">
        <v>83</v>
      </c>
      <c r="K161">
        <v>11</v>
      </c>
      <c r="L161">
        <v>83050</v>
      </c>
      <c r="M161">
        <v>56258</v>
      </c>
      <c r="N161">
        <v>26792</v>
      </c>
      <c r="O161" s="6">
        <f>Table1[[#This Row],[Profit]]/Table1[[#This Row],[Sales_Amount]]</f>
        <v>0.32260084286574353</v>
      </c>
      <c r="P161" t="s">
        <v>60</v>
      </c>
    </row>
    <row r="162" spans="1:16" x14ac:dyDescent="0.35">
      <c r="A162" t="s">
        <v>527</v>
      </c>
      <c r="B162" t="s">
        <v>528</v>
      </c>
      <c r="C162" t="str">
        <f>TEXT(Table1[[#This Row],[Order_Date]],"mmm")</f>
        <v>Jan</v>
      </c>
      <c r="D162">
        <f>YEAR(Table1[[#This Row],[Order_Date]])</f>
        <v>2025</v>
      </c>
      <c r="E162" t="s">
        <v>46</v>
      </c>
      <c r="F162" t="s">
        <v>47</v>
      </c>
      <c r="G162" t="s">
        <v>80</v>
      </c>
      <c r="H162" t="s">
        <v>529</v>
      </c>
      <c r="I162" t="s">
        <v>143</v>
      </c>
      <c r="J162" t="s">
        <v>51</v>
      </c>
      <c r="K162">
        <v>7</v>
      </c>
      <c r="L162">
        <v>111401</v>
      </c>
      <c r="M162">
        <v>68376</v>
      </c>
      <c r="N162">
        <v>43025</v>
      </c>
      <c r="O162" s="6">
        <f>Table1[[#This Row],[Profit]]/Table1[[#This Row],[Sales_Amount]]</f>
        <v>0.38621735891060222</v>
      </c>
      <c r="P162" t="s">
        <v>98</v>
      </c>
    </row>
    <row r="163" spans="1:16" x14ac:dyDescent="0.35">
      <c r="A163" t="s">
        <v>530</v>
      </c>
      <c r="B163" t="s">
        <v>531</v>
      </c>
      <c r="C163" t="str">
        <f>TEXT(Table1[[#This Row],[Order_Date]],"mmm")</f>
        <v>Nov</v>
      </c>
      <c r="D163">
        <f>YEAR(Table1[[#This Row],[Order_Date]])</f>
        <v>2025</v>
      </c>
      <c r="E163" t="s">
        <v>46</v>
      </c>
      <c r="F163" t="s">
        <v>74</v>
      </c>
      <c r="G163" t="s">
        <v>128</v>
      </c>
      <c r="H163" t="s">
        <v>532</v>
      </c>
      <c r="I163" t="s">
        <v>67</v>
      </c>
      <c r="J163" t="s">
        <v>51</v>
      </c>
      <c r="K163">
        <v>3</v>
      </c>
      <c r="L163">
        <v>113994</v>
      </c>
      <c r="M163">
        <v>73980</v>
      </c>
      <c r="N163">
        <v>40014</v>
      </c>
      <c r="O163" s="6">
        <f>Table1[[#This Row],[Profit]]/Table1[[#This Row],[Sales_Amount]]</f>
        <v>0.35101847465656089</v>
      </c>
      <c r="P163" t="s">
        <v>52</v>
      </c>
    </row>
    <row r="164" spans="1:16" x14ac:dyDescent="0.35">
      <c r="A164" t="s">
        <v>533</v>
      </c>
      <c r="B164" t="s">
        <v>534</v>
      </c>
      <c r="C164" t="str">
        <f>TEXT(Table1[[#This Row],[Order_Date]],"mmm")</f>
        <v>Jul</v>
      </c>
      <c r="D164">
        <f>YEAR(Table1[[#This Row],[Order_Date]])</f>
        <v>2025</v>
      </c>
      <c r="E164" t="s">
        <v>63</v>
      </c>
      <c r="F164" t="s">
        <v>104</v>
      </c>
      <c r="G164" t="s">
        <v>128</v>
      </c>
      <c r="H164" t="s">
        <v>535</v>
      </c>
      <c r="I164" t="s">
        <v>67</v>
      </c>
      <c r="J164" t="s">
        <v>51</v>
      </c>
      <c r="K164">
        <v>1</v>
      </c>
      <c r="L164">
        <v>92494</v>
      </c>
      <c r="M164">
        <v>63716</v>
      </c>
      <c r="N164">
        <v>28778</v>
      </c>
      <c r="O164" s="6">
        <f>Table1[[#This Row],[Profit]]/Table1[[#This Row],[Sales_Amount]]</f>
        <v>0.31113369515860489</v>
      </c>
      <c r="P164" t="s">
        <v>60</v>
      </c>
    </row>
    <row r="165" spans="1:16" x14ac:dyDescent="0.35">
      <c r="A165" t="s">
        <v>536</v>
      </c>
      <c r="B165" t="s">
        <v>537</v>
      </c>
      <c r="C165" t="str">
        <f>TEXT(Table1[[#This Row],[Order_Date]],"mmm")</f>
        <v>Oct</v>
      </c>
      <c r="D165">
        <f>YEAR(Table1[[#This Row],[Order_Date]])</f>
        <v>2025</v>
      </c>
      <c r="E165" t="s">
        <v>111</v>
      </c>
      <c r="F165" t="s">
        <v>112</v>
      </c>
      <c r="G165" t="s">
        <v>128</v>
      </c>
      <c r="H165" t="s">
        <v>538</v>
      </c>
      <c r="I165" t="s">
        <v>59</v>
      </c>
      <c r="J165" t="s">
        <v>51</v>
      </c>
      <c r="K165">
        <v>10</v>
      </c>
      <c r="L165">
        <v>39513</v>
      </c>
      <c r="M165">
        <v>22529</v>
      </c>
      <c r="N165">
        <v>16984</v>
      </c>
      <c r="O165" s="6">
        <f>Table1[[#This Row],[Profit]]/Table1[[#This Row],[Sales_Amount]]</f>
        <v>0.42983321944676434</v>
      </c>
      <c r="P165" t="s">
        <v>98</v>
      </c>
    </row>
    <row r="166" spans="1:16" x14ac:dyDescent="0.35">
      <c r="A166" t="s">
        <v>539</v>
      </c>
      <c r="B166" t="s">
        <v>197</v>
      </c>
      <c r="C166" t="str">
        <f>TEXT(Table1[[#This Row],[Order_Date]],"mmm")</f>
        <v>Sep</v>
      </c>
      <c r="D166">
        <f>YEAR(Table1[[#This Row],[Order_Date]])</f>
        <v>2025</v>
      </c>
      <c r="E166" t="s">
        <v>55</v>
      </c>
      <c r="F166" t="s">
        <v>188</v>
      </c>
      <c r="G166" t="s">
        <v>128</v>
      </c>
      <c r="H166" t="s">
        <v>540</v>
      </c>
      <c r="I166" t="s">
        <v>156</v>
      </c>
      <c r="J166" t="s">
        <v>157</v>
      </c>
      <c r="K166">
        <v>23</v>
      </c>
      <c r="L166">
        <v>45486</v>
      </c>
      <c r="M166">
        <v>24387</v>
      </c>
      <c r="N166">
        <v>21099</v>
      </c>
      <c r="O166" s="6">
        <f>Table1[[#This Row],[Profit]]/Table1[[#This Row],[Sales_Amount]]</f>
        <v>0.46385701094842369</v>
      </c>
      <c r="P166" t="s">
        <v>98</v>
      </c>
    </row>
    <row r="167" spans="1:16" x14ac:dyDescent="0.35">
      <c r="A167" t="s">
        <v>541</v>
      </c>
      <c r="B167" t="s">
        <v>542</v>
      </c>
      <c r="C167" t="str">
        <f>TEXT(Table1[[#This Row],[Order_Date]],"mmm")</f>
        <v>Jul</v>
      </c>
      <c r="D167">
        <f>YEAR(Table1[[#This Row],[Order_Date]])</f>
        <v>2025</v>
      </c>
      <c r="E167" t="s">
        <v>46</v>
      </c>
      <c r="F167" t="s">
        <v>47</v>
      </c>
      <c r="G167" t="s">
        <v>138</v>
      </c>
      <c r="H167" t="s">
        <v>543</v>
      </c>
      <c r="I167" t="s">
        <v>76</v>
      </c>
      <c r="J167" t="s">
        <v>77</v>
      </c>
      <c r="K167">
        <v>13</v>
      </c>
      <c r="L167">
        <v>114188</v>
      </c>
      <c r="M167">
        <v>65197</v>
      </c>
      <c r="N167">
        <v>48991</v>
      </c>
      <c r="O167" s="6">
        <f>Table1[[#This Row],[Profit]]/Table1[[#This Row],[Sales_Amount]]</f>
        <v>0.42903807755631063</v>
      </c>
      <c r="P167" t="s">
        <v>52</v>
      </c>
    </row>
    <row r="168" spans="1:16" x14ac:dyDescent="0.35">
      <c r="A168" t="s">
        <v>544</v>
      </c>
      <c r="B168" t="s">
        <v>545</v>
      </c>
      <c r="C168" t="str">
        <f>TEXT(Table1[[#This Row],[Order_Date]],"mmm")</f>
        <v>Mar</v>
      </c>
      <c r="D168">
        <f>YEAR(Table1[[#This Row],[Order_Date]])</f>
        <v>2025</v>
      </c>
      <c r="E168" t="s">
        <v>63</v>
      </c>
      <c r="F168" t="s">
        <v>64</v>
      </c>
      <c r="G168" t="s">
        <v>80</v>
      </c>
      <c r="H168" t="s">
        <v>546</v>
      </c>
      <c r="I168" t="s">
        <v>76</v>
      </c>
      <c r="J168" t="s">
        <v>77</v>
      </c>
      <c r="K168">
        <v>25</v>
      </c>
      <c r="L168">
        <v>87666</v>
      </c>
      <c r="M168">
        <v>46958</v>
      </c>
      <c r="N168">
        <v>40708</v>
      </c>
      <c r="O168" s="6">
        <f>Table1[[#This Row],[Profit]]/Table1[[#This Row],[Sales_Amount]]</f>
        <v>0.46435334109004633</v>
      </c>
      <c r="P168" t="s">
        <v>52</v>
      </c>
    </row>
    <row r="169" spans="1:16" x14ac:dyDescent="0.35">
      <c r="A169" t="s">
        <v>547</v>
      </c>
      <c r="B169" t="s">
        <v>548</v>
      </c>
      <c r="C169" t="str">
        <f>TEXT(Table1[[#This Row],[Order_Date]],"mmm")</f>
        <v>Sep</v>
      </c>
      <c r="D169">
        <f>YEAR(Table1[[#This Row],[Order_Date]])</f>
        <v>2025</v>
      </c>
      <c r="E169" t="s">
        <v>63</v>
      </c>
      <c r="F169" t="s">
        <v>64</v>
      </c>
      <c r="G169" t="s">
        <v>65</v>
      </c>
      <c r="H169" t="s">
        <v>549</v>
      </c>
      <c r="I169" t="s">
        <v>82</v>
      </c>
      <c r="J169" t="s">
        <v>83</v>
      </c>
      <c r="K169">
        <v>15</v>
      </c>
      <c r="L169">
        <v>104441</v>
      </c>
      <c r="M169">
        <v>77873</v>
      </c>
      <c r="N169">
        <v>26568</v>
      </c>
      <c r="O169" s="6">
        <f>Table1[[#This Row],[Profit]]/Table1[[#This Row],[Sales_Amount]]</f>
        <v>0.25438285730699628</v>
      </c>
      <c r="P169" t="s">
        <v>98</v>
      </c>
    </row>
    <row r="170" spans="1:16" x14ac:dyDescent="0.35">
      <c r="A170" t="s">
        <v>550</v>
      </c>
      <c r="B170" t="s">
        <v>203</v>
      </c>
      <c r="C170" t="str">
        <f>TEXT(Table1[[#This Row],[Order_Date]],"mmm")</f>
        <v>Sep</v>
      </c>
      <c r="D170">
        <f>YEAR(Table1[[#This Row],[Order_Date]])</f>
        <v>2025</v>
      </c>
      <c r="E170" t="s">
        <v>111</v>
      </c>
      <c r="F170" t="s">
        <v>112</v>
      </c>
      <c r="G170" t="s">
        <v>128</v>
      </c>
      <c r="H170" t="s">
        <v>551</v>
      </c>
      <c r="I170" t="s">
        <v>156</v>
      </c>
      <c r="J170" t="s">
        <v>157</v>
      </c>
      <c r="K170">
        <v>15</v>
      </c>
      <c r="L170">
        <v>68446</v>
      </c>
      <c r="M170">
        <v>43213</v>
      </c>
      <c r="N170">
        <v>25233</v>
      </c>
      <c r="O170" s="6">
        <f>Table1[[#This Row],[Profit]]/Table1[[#This Row],[Sales_Amount]]</f>
        <v>0.36865558250299507</v>
      </c>
      <c r="P170" t="s">
        <v>52</v>
      </c>
    </row>
    <row r="171" spans="1:16" x14ac:dyDescent="0.35">
      <c r="A171" t="s">
        <v>552</v>
      </c>
      <c r="B171" t="s">
        <v>434</v>
      </c>
      <c r="C171" t="str">
        <f>TEXT(Table1[[#This Row],[Order_Date]],"mmm")</f>
        <v>May</v>
      </c>
      <c r="D171">
        <f>YEAR(Table1[[#This Row],[Order_Date]])</f>
        <v>2025</v>
      </c>
      <c r="E171" t="s">
        <v>111</v>
      </c>
      <c r="F171" t="s">
        <v>112</v>
      </c>
      <c r="G171" t="s">
        <v>48</v>
      </c>
      <c r="H171" t="s">
        <v>553</v>
      </c>
      <c r="I171" t="s">
        <v>59</v>
      </c>
      <c r="J171" t="s">
        <v>51</v>
      </c>
      <c r="K171">
        <v>24</v>
      </c>
      <c r="L171">
        <v>50501</v>
      </c>
      <c r="M171">
        <v>41771</v>
      </c>
      <c r="N171">
        <v>8730</v>
      </c>
      <c r="O171" s="6">
        <f>Table1[[#This Row],[Profit]]/Table1[[#This Row],[Sales_Amount]]</f>
        <v>0.17286786400269302</v>
      </c>
      <c r="P171" t="s">
        <v>98</v>
      </c>
    </row>
    <row r="172" spans="1:16" x14ac:dyDescent="0.35">
      <c r="A172" t="s">
        <v>554</v>
      </c>
      <c r="B172" t="s">
        <v>555</v>
      </c>
      <c r="C172" t="str">
        <f>TEXT(Table1[[#This Row],[Order_Date]],"mmm")</f>
        <v>Sep</v>
      </c>
      <c r="D172">
        <f>YEAR(Table1[[#This Row],[Order_Date]])</f>
        <v>2025</v>
      </c>
      <c r="E172" t="s">
        <v>63</v>
      </c>
      <c r="F172" t="s">
        <v>104</v>
      </c>
      <c r="G172" t="s">
        <v>48</v>
      </c>
      <c r="H172" t="s">
        <v>556</v>
      </c>
      <c r="I172" t="s">
        <v>50</v>
      </c>
      <c r="J172" t="s">
        <v>51</v>
      </c>
      <c r="K172">
        <v>13</v>
      </c>
      <c r="L172">
        <v>62132</v>
      </c>
      <c r="M172">
        <v>36033</v>
      </c>
      <c r="N172">
        <v>26099</v>
      </c>
      <c r="O172" s="6">
        <f>Table1[[#This Row],[Profit]]/Table1[[#This Row],[Sales_Amount]]</f>
        <v>0.42005729736689629</v>
      </c>
      <c r="P172" t="s">
        <v>98</v>
      </c>
    </row>
    <row r="173" spans="1:16" x14ac:dyDescent="0.35">
      <c r="A173" t="s">
        <v>557</v>
      </c>
      <c r="B173" t="s">
        <v>175</v>
      </c>
      <c r="C173" t="str">
        <f>TEXT(Table1[[#This Row],[Order_Date]],"mmm")</f>
        <v>Jan</v>
      </c>
      <c r="D173">
        <f>YEAR(Table1[[#This Row],[Order_Date]])</f>
        <v>2025</v>
      </c>
      <c r="E173" t="s">
        <v>55</v>
      </c>
      <c r="F173" t="s">
        <v>188</v>
      </c>
      <c r="G173" t="s">
        <v>65</v>
      </c>
      <c r="H173" t="s">
        <v>558</v>
      </c>
      <c r="I173" t="s">
        <v>143</v>
      </c>
      <c r="J173" t="s">
        <v>51</v>
      </c>
      <c r="K173">
        <v>16</v>
      </c>
      <c r="L173">
        <v>65678</v>
      </c>
      <c r="M173">
        <v>38960</v>
      </c>
      <c r="N173">
        <v>26718</v>
      </c>
      <c r="O173" s="6">
        <f>Table1[[#This Row],[Profit]]/Table1[[#This Row],[Sales_Amount]]</f>
        <v>0.40680288681141324</v>
      </c>
      <c r="P173" t="s">
        <v>52</v>
      </c>
    </row>
    <row r="174" spans="1:16" x14ac:dyDescent="0.35">
      <c r="A174" t="s">
        <v>559</v>
      </c>
      <c r="B174" t="s">
        <v>265</v>
      </c>
      <c r="C174" t="str">
        <f>TEXT(Table1[[#This Row],[Order_Date]],"mmm")</f>
        <v>Aug</v>
      </c>
      <c r="D174">
        <f>YEAR(Table1[[#This Row],[Order_Date]])</f>
        <v>2025</v>
      </c>
      <c r="E174" t="s">
        <v>46</v>
      </c>
      <c r="F174" t="s">
        <v>74</v>
      </c>
      <c r="G174" t="s">
        <v>128</v>
      </c>
      <c r="H174" t="s">
        <v>560</v>
      </c>
      <c r="I174" t="s">
        <v>59</v>
      </c>
      <c r="J174" t="s">
        <v>51</v>
      </c>
      <c r="K174">
        <v>1</v>
      </c>
      <c r="L174">
        <v>99090</v>
      </c>
      <c r="M174">
        <v>54197</v>
      </c>
      <c r="N174">
        <v>44893</v>
      </c>
      <c r="O174" s="6">
        <f>Table1[[#This Row],[Profit]]/Table1[[#This Row],[Sales_Amount]]</f>
        <v>0.4530527803007367</v>
      </c>
      <c r="P174" t="s">
        <v>98</v>
      </c>
    </row>
    <row r="175" spans="1:16" x14ac:dyDescent="0.35">
      <c r="A175" t="s">
        <v>561</v>
      </c>
      <c r="B175" t="s">
        <v>69</v>
      </c>
      <c r="C175" t="str">
        <f>TEXT(Table1[[#This Row],[Order_Date]],"mmm")</f>
        <v>Feb</v>
      </c>
      <c r="D175">
        <f>YEAR(Table1[[#This Row],[Order_Date]])</f>
        <v>2025</v>
      </c>
      <c r="E175" t="s">
        <v>46</v>
      </c>
      <c r="F175" t="s">
        <v>47</v>
      </c>
      <c r="G175" t="s">
        <v>80</v>
      </c>
      <c r="H175" t="s">
        <v>562</v>
      </c>
      <c r="I175" t="s">
        <v>76</v>
      </c>
      <c r="J175" t="s">
        <v>77</v>
      </c>
      <c r="K175">
        <v>7</v>
      </c>
      <c r="L175">
        <v>45796</v>
      </c>
      <c r="M175">
        <v>34370</v>
      </c>
      <c r="N175">
        <v>11426</v>
      </c>
      <c r="O175" s="6">
        <f>Table1[[#This Row],[Profit]]/Table1[[#This Row],[Sales_Amount]]</f>
        <v>0.24949777273124291</v>
      </c>
      <c r="P175" t="s">
        <v>60</v>
      </c>
    </row>
    <row r="176" spans="1:16" x14ac:dyDescent="0.35">
      <c r="A176" t="s">
        <v>563</v>
      </c>
      <c r="B176" t="s">
        <v>154</v>
      </c>
      <c r="C176" t="str">
        <f>TEXT(Table1[[#This Row],[Order_Date]],"mmm")</f>
        <v>Dec</v>
      </c>
      <c r="D176">
        <f>YEAR(Table1[[#This Row],[Order_Date]])</f>
        <v>2025</v>
      </c>
      <c r="E176" t="s">
        <v>63</v>
      </c>
      <c r="F176" t="s">
        <v>64</v>
      </c>
      <c r="G176" t="s">
        <v>70</v>
      </c>
      <c r="H176" t="s">
        <v>192</v>
      </c>
      <c r="I176" t="s">
        <v>156</v>
      </c>
      <c r="J176" t="s">
        <v>157</v>
      </c>
      <c r="K176">
        <v>9</v>
      </c>
      <c r="L176">
        <v>11951</v>
      </c>
      <c r="M176">
        <v>6543</v>
      </c>
      <c r="N176">
        <v>5408</v>
      </c>
      <c r="O176" s="6">
        <f>Table1[[#This Row],[Profit]]/Table1[[#This Row],[Sales_Amount]]</f>
        <v>0.45251443393858254</v>
      </c>
      <c r="P176" t="s">
        <v>60</v>
      </c>
    </row>
    <row r="177" spans="1:16" x14ac:dyDescent="0.35">
      <c r="A177" t="s">
        <v>564</v>
      </c>
      <c r="B177" t="s">
        <v>565</v>
      </c>
      <c r="C177" t="str">
        <f>TEXT(Table1[[#This Row],[Order_Date]],"mmm")</f>
        <v>Dec</v>
      </c>
      <c r="D177">
        <f>YEAR(Table1[[#This Row],[Order_Date]])</f>
        <v>2025</v>
      </c>
      <c r="E177" t="s">
        <v>55</v>
      </c>
      <c r="F177" t="s">
        <v>188</v>
      </c>
      <c r="G177" t="s">
        <v>116</v>
      </c>
      <c r="H177" t="s">
        <v>566</v>
      </c>
      <c r="I177" t="s">
        <v>50</v>
      </c>
      <c r="J177" t="s">
        <v>51</v>
      </c>
      <c r="K177">
        <v>23</v>
      </c>
      <c r="L177">
        <v>49805</v>
      </c>
      <c r="M177">
        <v>28181</v>
      </c>
      <c r="N177">
        <v>21624</v>
      </c>
      <c r="O177" s="6">
        <f>Table1[[#This Row],[Profit]]/Table1[[#This Row],[Sales_Amount]]</f>
        <v>0.43417327577552456</v>
      </c>
      <c r="P177" t="s">
        <v>52</v>
      </c>
    </row>
    <row r="178" spans="1:16" x14ac:dyDescent="0.35">
      <c r="A178" t="s">
        <v>567</v>
      </c>
      <c r="B178" t="s">
        <v>568</v>
      </c>
      <c r="C178" t="str">
        <f>TEXT(Table1[[#This Row],[Order_Date]],"mmm")</f>
        <v>Jul</v>
      </c>
      <c r="D178">
        <f>YEAR(Table1[[#This Row],[Order_Date]])</f>
        <v>2025</v>
      </c>
      <c r="E178" t="s">
        <v>63</v>
      </c>
      <c r="F178" t="s">
        <v>64</v>
      </c>
      <c r="G178" t="s">
        <v>138</v>
      </c>
      <c r="H178" t="s">
        <v>569</v>
      </c>
      <c r="I178" t="s">
        <v>50</v>
      </c>
      <c r="J178" t="s">
        <v>51</v>
      </c>
      <c r="K178">
        <v>5</v>
      </c>
      <c r="L178">
        <v>52181</v>
      </c>
      <c r="M178">
        <v>34213</v>
      </c>
      <c r="N178">
        <v>17968</v>
      </c>
      <c r="O178" s="6">
        <f>Table1[[#This Row],[Profit]]/Table1[[#This Row],[Sales_Amount]]</f>
        <v>0.34433989383108793</v>
      </c>
      <c r="P178" t="s">
        <v>121</v>
      </c>
    </row>
    <row r="179" spans="1:16" x14ac:dyDescent="0.35">
      <c r="A179" t="s">
        <v>570</v>
      </c>
      <c r="B179" t="s">
        <v>474</v>
      </c>
      <c r="C179" t="str">
        <f>TEXT(Table1[[#This Row],[Order_Date]],"mmm")</f>
        <v>Nov</v>
      </c>
      <c r="D179">
        <f>YEAR(Table1[[#This Row],[Order_Date]])</f>
        <v>2025</v>
      </c>
      <c r="E179" t="s">
        <v>63</v>
      </c>
      <c r="F179" t="s">
        <v>104</v>
      </c>
      <c r="G179" t="s">
        <v>48</v>
      </c>
      <c r="H179" t="s">
        <v>571</v>
      </c>
      <c r="I179" t="s">
        <v>143</v>
      </c>
      <c r="J179" t="s">
        <v>51</v>
      </c>
      <c r="K179">
        <v>9</v>
      </c>
      <c r="L179">
        <v>48778</v>
      </c>
      <c r="M179">
        <v>38792</v>
      </c>
      <c r="N179">
        <v>9986</v>
      </c>
      <c r="O179" s="6">
        <f>Table1[[#This Row],[Profit]]/Table1[[#This Row],[Sales_Amount]]</f>
        <v>0.20472344089548566</v>
      </c>
      <c r="P179" t="s">
        <v>121</v>
      </c>
    </row>
    <row r="180" spans="1:16" x14ac:dyDescent="0.35">
      <c r="A180" t="s">
        <v>572</v>
      </c>
      <c r="B180" t="s">
        <v>363</v>
      </c>
      <c r="C180" t="str">
        <f>TEXT(Table1[[#This Row],[Order_Date]],"mmm")</f>
        <v>Dec</v>
      </c>
      <c r="D180">
        <f>YEAR(Table1[[#This Row],[Order_Date]])</f>
        <v>2025</v>
      </c>
      <c r="E180" t="s">
        <v>111</v>
      </c>
      <c r="F180" t="s">
        <v>112</v>
      </c>
      <c r="G180" t="s">
        <v>116</v>
      </c>
      <c r="H180" t="s">
        <v>573</v>
      </c>
      <c r="I180" t="s">
        <v>76</v>
      </c>
      <c r="J180" t="s">
        <v>77</v>
      </c>
      <c r="K180">
        <v>2</v>
      </c>
      <c r="L180">
        <v>54240</v>
      </c>
      <c r="M180">
        <v>40218</v>
      </c>
      <c r="N180">
        <v>14022</v>
      </c>
      <c r="O180" s="6">
        <f>Table1[[#This Row],[Profit]]/Table1[[#This Row],[Sales_Amount]]</f>
        <v>0.25851769911504424</v>
      </c>
      <c r="P180" t="s">
        <v>60</v>
      </c>
    </row>
    <row r="181" spans="1:16" x14ac:dyDescent="0.35">
      <c r="A181" t="s">
        <v>574</v>
      </c>
      <c r="B181" t="s">
        <v>474</v>
      </c>
      <c r="C181" t="str">
        <f>TEXT(Table1[[#This Row],[Order_Date]],"mmm")</f>
        <v>Nov</v>
      </c>
      <c r="D181">
        <f>YEAR(Table1[[#This Row],[Order_Date]])</f>
        <v>2025</v>
      </c>
      <c r="E181" t="s">
        <v>111</v>
      </c>
      <c r="F181" t="s">
        <v>112</v>
      </c>
      <c r="G181" t="s">
        <v>65</v>
      </c>
      <c r="H181" t="s">
        <v>575</v>
      </c>
      <c r="I181" t="s">
        <v>82</v>
      </c>
      <c r="J181" t="s">
        <v>83</v>
      </c>
      <c r="K181">
        <v>12</v>
      </c>
      <c r="L181">
        <v>82502</v>
      </c>
      <c r="M181">
        <v>64884</v>
      </c>
      <c r="N181">
        <v>17618</v>
      </c>
      <c r="O181" s="6">
        <f>Table1[[#This Row],[Profit]]/Table1[[#This Row],[Sales_Amount]]</f>
        <v>0.21354633827058739</v>
      </c>
      <c r="P181" t="s">
        <v>60</v>
      </c>
    </row>
    <row r="182" spans="1:16" x14ac:dyDescent="0.35">
      <c r="A182" t="s">
        <v>576</v>
      </c>
      <c r="B182" t="s">
        <v>577</v>
      </c>
      <c r="C182" t="str">
        <f>TEXT(Table1[[#This Row],[Order_Date]],"mmm")</f>
        <v>Oct</v>
      </c>
      <c r="D182">
        <f>YEAR(Table1[[#This Row],[Order_Date]])</f>
        <v>2025</v>
      </c>
      <c r="E182" t="s">
        <v>46</v>
      </c>
      <c r="F182" t="s">
        <v>74</v>
      </c>
      <c r="G182" t="s">
        <v>57</v>
      </c>
      <c r="H182" t="s">
        <v>578</v>
      </c>
      <c r="I182" t="s">
        <v>143</v>
      </c>
      <c r="J182" t="s">
        <v>51</v>
      </c>
      <c r="K182">
        <v>15</v>
      </c>
      <c r="L182">
        <v>10398</v>
      </c>
      <c r="M182">
        <v>7931</v>
      </c>
      <c r="N182">
        <v>2467</v>
      </c>
      <c r="O182" s="6">
        <f>Table1[[#This Row],[Profit]]/Table1[[#This Row],[Sales_Amount]]</f>
        <v>0.23725716483939219</v>
      </c>
      <c r="P182" t="s">
        <v>121</v>
      </c>
    </row>
    <row r="183" spans="1:16" x14ac:dyDescent="0.35">
      <c r="A183" t="s">
        <v>579</v>
      </c>
      <c r="B183" t="s">
        <v>580</v>
      </c>
      <c r="C183" t="str">
        <f>TEXT(Table1[[#This Row],[Order_Date]],"mmm")</f>
        <v>Mar</v>
      </c>
      <c r="D183">
        <f>YEAR(Table1[[#This Row],[Order_Date]])</f>
        <v>2025</v>
      </c>
      <c r="E183" t="s">
        <v>63</v>
      </c>
      <c r="F183" t="s">
        <v>64</v>
      </c>
      <c r="G183" t="s">
        <v>65</v>
      </c>
      <c r="H183" t="s">
        <v>581</v>
      </c>
      <c r="I183" t="s">
        <v>125</v>
      </c>
      <c r="J183" t="s">
        <v>83</v>
      </c>
      <c r="K183">
        <v>6</v>
      </c>
      <c r="L183">
        <v>5792</v>
      </c>
      <c r="M183">
        <v>4333</v>
      </c>
      <c r="N183">
        <v>1459</v>
      </c>
      <c r="O183" s="6">
        <f>Table1[[#This Row],[Profit]]/Table1[[#This Row],[Sales_Amount]]</f>
        <v>0.25189917127071826</v>
      </c>
      <c r="P183" t="s">
        <v>52</v>
      </c>
    </row>
    <row r="184" spans="1:16" x14ac:dyDescent="0.35">
      <c r="A184" t="s">
        <v>582</v>
      </c>
      <c r="B184" t="s">
        <v>583</v>
      </c>
      <c r="C184" t="str">
        <f>TEXT(Table1[[#This Row],[Order_Date]],"mmm")</f>
        <v>Jul</v>
      </c>
      <c r="D184">
        <f>YEAR(Table1[[#This Row],[Order_Date]])</f>
        <v>2025</v>
      </c>
      <c r="E184" t="s">
        <v>55</v>
      </c>
      <c r="F184" t="s">
        <v>56</v>
      </c>
      <c r="G184" t="s">
        <v>138</v>
      </c>
      <c r="H184" t="s">
        <v>584</v>
      </c>
      <c r="I184" t="s">
        <v>82</v>
      </c>
      <c r="J184" t="s">
        <v>83</v>
      </c>
      <c r="K184">
        <v>9</v>
      </c>
      <c r="L184">
        <v>68651</v>
      </c>
      <c r="M184">
        <v>55295</v>
      </c>
      <c r="N184">
        <v>13356</v>
      </c>
      <c r="O184" s="6">
        <f>Table1[[#This Row],[Profit]]/Table1[[#This Row],[Sales_Amount]]</f>
        <v>0.19454924181730784</v>
      </c>
      <c r="P184" t="s">
        <v>98</v>
      </c>
    </row>
    <row r="185" spans="1:16" x14ac:dyDescent="0.35">
      <c r="A185" t="s">
        <v>585</v>
      </c>
      <c r="B185" t="s">
        <v>586</v>
      </c>
      <c r="C185" t="str">
        <f>TEXT(Table1[[#This Row],[Order_Date]],"mmm")</f>
        <v>Dec</v>
      </c>
      <c r="D185">
        <f>YEAR(Table1[[#This Row],[Order_Date]])</f>
        <v>2025</v>
      </c>
      <c r="E185" t="s">
        <v>111</v>
      </c>
      <c r="F185" t="s">
        <v>169</v>
      </c>
      <c r="G185" t="s">
        <v>128</v>
      </c>
      <c r="H185" t="s">
        <v>587</v>
      </c>
      <c r="I185" t="s">
        <v>87</v>
      </c>
      <c r="J185" t="s">
        <v>88</v>
      </c>
      <c r="K185">
        <v>17</v>
      </c>
      <c r="L185">
        <v>19015</v>
      </c>
      <c r="M185">
        <v>13739</v>
      </c>
      <c r="N185">
        <v>5276</v>
      </c>
      <c r="O185" s="6">
        <f>Table1[[#This Row],[Profit]]/Table1[[#This Row],[Sales_Amount]]</f>
        <v>0.27746515908493297</v>
      </c>
      <c r="P185" t="s">
        <v>121</v>
      </c>
    </row>
    <row r="186" spans="1:16" x14ac:dyDescent="0.35">
      <c r="A186" t="s">
        <v>589</v>
      </c>
      <c r="B186" t="s">
        <v>431</v>
      </c>
      <c r="C186" t="str">
        <f>TEXT(Table1[[#This Row],[Order_Date]],"mmm")</f>
        <v>Jun</v>
      </c>
      <c r="D186">
        <f>YEAR(Table1[[#This Row],[Order_Date]])</f>
        <v>2025</v>
      </c>
      <c r="E186" t="s">
        <v>111</v>
      </c>
      <c r="F186" t="s">
        <v>112</v>
      </c>
      <c r="G186" t="s">
        <v>57</v>
      </c>
      <c r="H186" t="s">
        <v>590</v>
      </c>
      <c r="I186" t="s">
        <v>82</v>
      </c>
      <c r="J186" t="s">
        <v>83</v>
      </c>
      <c r="K186">
        <v>5</v>
      </c>
      <c r="L186">
        <v>109956</v>
      </c>
      <c r="M186">
        <v>72963</v>
      </c>
      <c r="N186">
        <v>36993</v>
      </c>
      <c r="O186" s="6">
        <f>Table1[[#This Row],[Profit]]/Table1[[#This Row],[Sales_Amount]]</f>
        <v>0.33643457382953179</v>
      </c>
      <c r="P186" t="s">
        <v>60</v>
      </c>
    </row>
    <row r="187" spans="1:16" x14ac:dyDescent="0.35">
      <c r="A187" t="s">
        <v>591</v>
      </c>
      <c r="B187" t="s">
        <v>220</v>
      </c>
      <c r="C187" t="str">
        <f>TEXT(Table1[[#This Row],[Order_Date]],"mmm")</f>
        <v>May</v>
      </c>
      <c r="D187">
        <f>YEAR(Table1[[#This Row],[Order_Date]])</f>
        <v>2025</v>
      </c>
      <c r="E187" t="s">
        <v>111</v>
      </c>
      <c r="F187" t="s">
        <v>112</v>
      </c>
      <c r="G187" t="s">
        <v>138</v>
      </c>
      <c r="H187" t="s">
        <v>592</v>
      </c>
      <c r="I187" t="s">
        <v>82</v>
      </c>
      <c r="J187" t="s">
        <v>83</v>
      </c>
      <c r="K187">
        <v>10</v>
      </c>
      <c r="L187">
        <v>66834</v>
      </c>
      <c r="M187">
        <v>54790</v>
      </c>
      <c r="N187">
        <v>12044</v>
      </c>
      <c r="O187" s="6">
        <f>Table1[[#This Row],[Profit]]/Table1[[#This Row],[Sales_Amount]]</f>
        <v>0.18020767872639673</v>
      </c>
      <c r="P187" t="s">
        <v>98</v>
      </c>
    </row>
    <row r="188" spans="1:16" x14ac:dyDescent="0.35">
      <c r="A188" t="s">
        <v>593</v>
      </c>
      <c r="B188" t="s">
        <v>594</v>
      </c>
      <c r="C188" t="str">
        <f>TEXT(Table1[[#This Row],[Order_Date]],"mmm")</f>
        <v>Feb</v>
      </c>
      <c r="D188">
        <f>YEAR(Table1[[#This Row],[Order_Date]])</f>
        <v>2025</v>
      </c>
      <c r="E188" t="s">
        <v>55</v>
      </c>
      <c r="F188" t="s">
        <v>56</v>
      </c>
      <c r="G188" t="s">
        <v>70</v>
      </c>
      <c r="H188" t="s">
        <v>595</v>
      </c>
      <c r="I188" t="s">
        <v>125</v>
      </c>
      <c r="J188" t="s">
        <v>83</v>
      </c>
      <c r="K188">
        <v>2</v>
      </c>
      <c r="L188">
        <v>54037</v>
      </c>
      <c r="M188">
        <v>34007</v>
      </c>
      <c r="N188">
        <v>20030</v>
      </c>
      <c r="O188" s="6">
        <f>Table1[[#This Row],[Profit]]/Table1[[#This Row],[Sales_Amount]]</f>
        <v>0.37067194699927825</v>
      </c>
      <c r="P188" t="s">
        <v>52</v>
      </c>
    </row>
    <row r="189" spans="1:16" x14ac:dyDescent="0.35">
      <c r="A189" t="s">
        <v>596</v>
      </c>
      <c r="B189" t="s">
        <v>597</v>
      </c>
      <c r="C189" t="str">
        <f>TEXT(Table1[[#This Row],[Order_Date]],"mmm")</f>
        <v>Jan</v>
      </c>
      <c r="D189">
        <f>YEAR(Table1[[#This Row],[Order_Date]])</f>
        <v>2025</v>
      </c>
      <c r="E189" t="s">
        <v>63</v>
      </c>
      <c r="F189" t="s">
        <v>104</v>
      </c>
      <c r="G189" t="s">
        <v>116</v>
      </c>
      <c r="H189" t="s">
        <v>598</v>
      </c>
      <c r="I189" t="s">
        <v>156</v>
      </c>
      <c r="J189" t="s">
        <v>157</v>
      </c>
      <c r="K189">
        <v>24</v>
      </c>
      <c r="L189">
        <v>53789</v>
      </c>
      <c r="M189">
        <v>27274</v>
      </c>
      <c r="N189">
        <v>26515</v>
      </c>
      <c r="O189" s="6">
        <f>Table1[[#This Row],[Profit]]/Table1[[#This Row],[Sales_Amount]]</f>
        <v>0.4929446541114354</v>
      </c>
      <c r="P189" t="s">
        <v>121</v>
      </c>
    </row>
    <row r="190" spans="1:16" x14ac:dyDescent="0.35">
      <c r="A190" t="s">
        <v>599</v>
      </c>
      <c r="B190" t="s">
        <v>600</v>
      </c>
      <c r="C190" t="str">
        <f>TEXT(Table1[[#This Row],[Order_Date]],"mmm")</f>
        <v>Oct</v>
      </c>
      <c r="D190">
        <f>YEAR(Table1[[#This Row],[Order_Date]])</f>
        <v>2025</v>
      </c>
      <c r="E190" t="s">
        <v>63</v>
      </c>
      <c r="F190" t="s">
        <v>64</v>
      </c>
      <c r="G190" t="s">
        <v>80</v>
      </c>
      <c r="H190" t="s">
        <v>601</v>
      </c>
      <c r="I190" t="s">
        <v>67</v>
      </c>
      <c r="J190" t="s">
        <v>51</v>
      </c>
      <c r="K190">
        <v>13</v>
      </c>
      <c r="L190">
        <v>21450</v>
      </c>
      <c r="M190">
        <v>16964</v>
      </c>
      <c r="N190">
        <v>4486</v>
      </c>
      <c r="O190" s="6">
        <f>Table1[[#This Row],[Profit]]/Table1[[#This Row],[Sales_Amount]]</f>
        <v>0.20913752913752914</v>
      </c>
      <c r="P190" t="s">
        <v>121</v>
      </c>
    </row>
    <row r="191" spans="1:16" x14ac:dyDescent="0.35">
      <c r="A191" t="s">
        <v>602</v>
      </c>
      <c r="B191" t="s">
        <v>603</v>
      </c>
      <c r="C191" t="str">
        <f>TEXT(Table1[[#This Row],[Order_Date]],"mmm")</f>
        <v>Jan</v>
      </c>
      <c r="D191">
        <f>YEAR(Table1[[#This Row],[Order_Date]])</f>
        <v>2025</v>
      </c>
      <c r="E191" t="s">
        <v>111</v>
      </c>
      <c r="F191" t="s">
        <v>169</v>
      </c>
      <c r="G191" t="s">
        <v>65</v>
      </c>
      <c r="H191" t="s">
        <v>604</v>
      </c>
      <c r="I191" t="s">
        <v>87</v>
      </c>
      <c r="J191" t="s">
        <v>88</v>
      </c>
      <c r="K191">
        <v>18</v>
      </c>
      <c r="L191">
        <v>65436</v>
      </c>
      <c r="M191">
        <v>31380</v>
      </c>
      <c r="N191">
        <v>34056</v>
      </c>
      <c r="O191" s="6">
        <f>Table1[[#This Row],[Profit]]/Table1[[#This Row],[Sales_Amount]]</f>
        <v>0.52044746011369891</v>
      </c>
      <c r="P191" t="s">
        <v>121</v>
      </c>
    </row>
    <row r="192" spans="1:16" x14ac:dyDescent="0.35">
      <c r="A192" t="s">
        <v>605</v>
      </c>
      <c r="B192" t="s">
        <v>412</v>
      </c>
      <c r="C192" t="str">
        <f>TEXT(Table1[[#This Row],[Order_Date]],"mmm")</f>
        <v>May</v>
      </c>
      <c r="D192">
        <f>YEAR(Table1[[#This Row],[Order_Date]])</f>
        <v>2025</v>
      </c>
      <c r="E192" t="s">
        <v>55</v>
      </c>
      <c r="F192" t="s">
        <v>188</v>
      </c>
      <c r="G192" t="s">
        <v>65</v>
      </c>
      <c r="H192" t="s">
        <v>606</v>
      </c>
      <c r="I192" t="s">
        <v>59</v>
      </c>
      <c r="J192" t="s">
        <v>51</v>
      </c>
      <c r="K192">
        <v>20</v>
      </c>
      <c r="L192">
        <v>83841</v>
      </c>
      <c r="M192">
        <v>57215</v>
      </c>
      <c r="N192">
        <v>26626</v>
      </c>
      <c r="O192" s="6">
        <f>Table1[[#This Row],[Profit]]/Table1[[#This Row],[Sales_Amount]]</f>
        <v>0.3175773189728176</v>
      </c>
      <c r="P192" t="s">
        <v>52</v>
      </c>
    </row>
    <row r="193" spans="1:16" x14ac:dyDescent="0.35">
      <c r="A193" t="s">
        <v>607</v>
      </c>
      <c r="B193" t="s">
        <v>545</v>
      </c>
      <c r="C193" t="str">
        <f>TEXT(Table1[[#This Row],[Order_Date]],"mmm")</f>
        <v>Mar</v>
      </c>
      <c r="D193">
        <f>YEAR(Table1[[#This Row],[Order_Date]])</f>
        <v>2025</v>
      </c>
      <c r="E193" t="s">
        <v>46</v>
      </c>
      <c r="F193" t="s">
        <v>74</v>
      </c>
      <c r="G193" t="s">
        <v>70</v>
      </c>
      <c r="H193" t="s">
        <v>608</v>
      </c>
      <c r="I193" t="s">
        <v>156</v>
      </c>
      <c r="J193" t="s">
        <v>157</v>
      </c>
      <c r="K193">
        <v>20</v>
      </c>
      <c r="L193">
        <v>51657</v>
      </c>
      <c r="M193">
        <v>30349</v>
      </c>
      <c r="N193">
        <v>21308</v>
      </c>
      <c r="O193" s="6">
        <f>Table1[[#This Row],[Profit]]/Table1[[#This Row],[Sales_Amount]]</f>
        <v>0.41249007878893468</v>
      </c>
      <c r="P193" t="s">
        <v>121</v>
      </c>
    </row>
    <row r="194" spans="1:16" x14ac:dyDescent="0.35">
      <c r="A194" t="s">
        <v>609</v>
      </c>
      <c r="B194" t="s">
        <v>610</v>
      </c>
      <c r="C194" t="str">
        <f>TEXT(Table1[[#This Row],[Order_Date]],"mmm")</f>
        <v>Feb</v>
      </c>
      <c r="D194">
        <f>YEAR(Table1[[#This Row],[Order_Date]])</f>
        <v>2025</v>
      </c>
      <c r="E194" t="s">
        <v>63</v>
      </c>
      <c r="F194" t="s">
        <v>64</v>
      </c>
      <c r="G194" t="s">
        <v>80</v>
      </c>
      <c r="H194" t="s">
        <v>611</v>
      </c>
      <c r="I194" t="s">
        <v>87</v>
      </c>
      <c r="J194" t="s">
        <v>88</v>
      </c>
      <c r="K194">
        <v>12</v>
      </c>
      <c r="L194">
        <v>114094</v>
      </c>
      <c r="M194">
        <v>68921</v>
      </c>
      <c r="N194">
        <v>45173</v>
      </c>
      <c r="O194" s="6">
        <f>Table1[[#This Row],[Profit]]/Table1[[#This Row],[Sales_Amount]]</f>
        <v>0.39592791908426384</v>
      </c>
      <c r="P194" t="s">
        <v>121</v>
      </c>
    </row>
    <row r="195" spans="1:16" x14ac:dyDescent="0.35">
      <c r="A195" t="s">
        <v>612</v>
      </c>
      <c r="B195" t="s">
        <v>194</v>
      </c>
      <c r="C195" t="str">
        <f>TEXT(Table1[[#This Row],[Order_Date]],"mmm")</f>
        <v>Jun</v>
      </c>
      <c r="D195">
        <f>YEAR(Table1[[#This Row],[Order_Date]])</f>
        <v>2025</v>
      </c>
      <c r="E195" t="s">
        <v>55</v>
      </c>
      <c r="F195" t="s">
        <v>56</v>
      </c>
      <c r="G195" t="s">
        <v>65</v>
      </c>
      <c r="H195" t="s">
        <v>613</v>
      </c>
      <c r="I195" t="s">
        <v>67</v>
      </c>
      <c r="J195" t="s">
        <v>51</v>
      </c>
      <c r="K195">
        <v>14</v>
      </c>
      <c r="L195">
        <v>5813</v>
      </c>
      <c r="M195">
        <v>3284</v>
      </c>
      <c r="N195">
        <v>2529</v>
      </c>
      <c r="O195" s="6">
        <f>Table1[[#This Row],[Profit]]/Table1[[#This Row],[Sales_Amount]]</f>
        <v>0.43505934973335625</v>
      </c>
      <c r="P195" t="s">
        <v>60</v>
      </c>
    </row>
    <row r="196" spans="1:16" x14ac:dyDescent="0.35">
      <c r="A196" t="s">
        <v>614</v>
      </c>
      <c r="B196" t="s">
        <v>449</v>
      </c>
      <c r="C196" t="str">
        <f>TEXT(Table1[[#This Row],[Order_Date]],"mmm")</f>
        <v>Jan</v>
      </c>
      <c r="D196">
        <f>YEAR(Table1[[#This Row],[Order_Date]])</f>
        <v>2025</v>
      </c>
      <c r="E196" t="s">
        <v>46</v>
      </c>
      <c r="F196" t="s">
        <v>47</v>
      </c>
      <c r="G196" t="s">
        <v>57</v>
      </c>
      <c r="H196" t="s">
        <v>615</v>
      </c>
      <c r="I196" t="s">
        <v>156</v>
      </c>
      <c r="J196" t="s">
        <v>157</v>
      </c>
      <c r="K196">
        <v>1</v>
      </c>
      <c r="L196">
        <v>91637</v>
      </c>
      <c r="M196">
        <v>44406</v>
      </c>
      <c r="N196">
        <v>47231</v>
      </c>
      <c r="O196" s="6">
        <f>Table1[[#This Row],[Profit]]/Table1[[#This Row],[Sales_Amount]]</f>
        <v>0.51541407946571804</v>
      </c>
      <c r="P196" t="s">
        <v>98</v>
      </c>
    </row>
    <row r="197" spans="1:16" x14ac:dyDescent="0.35">
      <c r="A197" t="s">
        <v>616</v>
      </c>
      <c r="B197" t="s">
        <v>583</v>
      </c>
      <c r="C197" t="str">
        <f>TEXT(Table1[[#This Row],[Order_Date]],"mmm")</f>
        <v>Jul</v>
      </c>
      <c r="D197">
        <f>YEAR(Table1[[#This Row],[Order_Date]])</f>
        <v>2025</v>
      </c>
      <c r="E197" t="s">
        <v>46</v>
      </c>
      <c r="F197" t="s">
        <v>47</v>
      </c>
      <c r="G197" t="s">
        <v>70</v>
      </c>
      <c r="H197" t="s">
        <v>617</v>
      </c>
      <c r="I197" t="s">
        <v>143</v>
      </c>
      <c r="J197" t="s">
        <v>51</v>
      </c>
      <c r="K197">
        <v>20</v>
      </c>
      <c r="L197">
        <v>84262</v>
      </c>
      <c r="M197">
        <v>46551</v>
      </c>
      <c r="N197">
        <v>37711</v>
      </c>
      <c r="O197" s="6">
        <f>Table1[[#This Row],[Profit]]/Table1[[#This Row],[Sales_Amount]]</f>
        <v>0.44754456338563053</v>
      </c>
      <c r="P197" t="s">
        <v>52</v>
      </c>
    </row>
    <row r="198" spans="1:16" x14ac:dyDescent="0.35">
      <c r="A198" t="s">
        <v>618</v>
      </c>
      <c r="B198" t="s">
        <v>137</v>
      </c>
      <c r="C198" t="str">
        <f>TEXT(Table1[[#This Row],[Order_Date]],"mmm")</f>
        <v>Jul</v>
      </c>
      <c r="D198">
        <f>YEAR(Table1[[#This Row],[Order_Date]])</f>
        <v>2025</v>
      </c>
      <c r="E198" t="s">
        <v>63</v>
      </c>
      <c r="F198" t="s">
        <v>104</v>
      </c>
      <c r="G198" t="s">
        <v>116</v>
      </c>
      <c r="H198" t="s">
        <v>619</v>
      </c>
      <c r="I198" t="s">
        <v>82</v>
      </c>
      <c r="J198" t="s">
        <v>83</v>
      </c>
      <c r="K198">
        <v>11</v>
      </c>
      <c r="L198">
        <v>20320</v>
      </c>
      <c r="M198">
        <v>15137</v>
      </c>
      <c r="N198">
        <v>5183</v>
      </c>
      <c r="O198" s="6">
        <f>Table1[[#This Row],[Profit]]/Table1[[#This Row],[Sales_Amount]]</f>
        <v>0.25506889763779528</v>
      </c>
      <c r="P198" t="s">
        <v>60</v>
      </c>
    </row>
    <row r="199" spans="1:16" x14ac:dyDescent="0.35">
      <c r="A199" t="s">
        <v>620</v>
      </c>
      <c r="B199" t="s">
        <v>62</v>
      </c>
      <c r="C199" t="str">
        <f>TEXT(Table1[[#This Row],[Order_Date]],"mmm")</f>
        <v>Mar</v>
      </c>
      <c r="D199">
        <f>YEAR(Table1[[#This Row],[Order_Date]])</f>
        <v>2025</v>
      </c>
      <c r="E199" t="s">
        <v>46</v>
      </c>
      <c r="F199" t="s">
        <v>47</v>
      </c>
      <c r="G199" t="s">
        <v>65</v>
      </c>
      <c r="H199" t="s">
        <v>621</v>
      </c>
      <c r="I199" t="s">
        <v>67</v>
      </c>
      <c r="J199" t="s">
        <v>51</v>
      </c>
      <c r="K199">
        <v>25</v>
      </c>
      <c r="L199">
        <v>15852</v>
      </c>
      <c r="M199">
        <v>12091</v>
      </c>
      <c r="N199">
        <v>3761</v>
      </c>
      <c r="O199" s="6">
        <f>Table1[[#This Row],[Profit]]/Table1[[#This Row],[Sales_Amount]]</f>
        <v>0.23725712843805197</v>
      </c>
      <c r="P199" t="s">
        <v>121</v>
      </c>
    </row>
    <row r="200" spans="1:16" x14ac:dyDescent="0.35">
      <c r="A200" t="s">
        <v>622</v>
      </c>
      <c r="B200" t="s">
        <v>187</v>
      </c>
      <c r="C200" t="str">
        <f>TEXT(Table1[[#This Row],[Order_Date]],"mmm")</f>
        <v>Apr</v>
      </c>
      <c r="D200">
        <f>YEAR(Table1[[#This Row],[Order_Date]])</f>
        <v>2025</v>
      </c>
      <c r="E200" t="s">
        <v>55</v>
      </c>
      <c r="F200" t="s">
        <v>56</v>
      </c>
      <c r="G200" t="s">
        <v>116</v>
      </c>
      <c r="H200" t="s">
        <v>623</v>
      </c>
      <c r="I200" t="s">
        <v>67</v>
      </c>
      <c r="J200" t="s">
        <v>51</v>
      </c>
      <c r="K200">
        <v>10</v>
      </c>
      <c r="L200">
        <v>98768</v>
      </c>
      <c r="M200">
        <v>56132</v>
      </c>
      <c r="N200">
        <v>42636</v>
      </c>
      <c r="O200" s="6">
        <f>Table1[[#This Row],[Profit]]/Table1[[#This Row],[Sales_Amount]]</f>
        <v>0.43167827636481454</v>
      </c>
      <c r="P200" t="s">
        <v>52</v>
      </c>
    </row>
    <row r="201" spans="1:16" x14ac:dyDescent="0.35">
      <c r="A201" t="s">
        <v>624</v>
      </c>
      <c r="B201" t="s">
        <v>625</v>
      </c>
      <c r="C201" t="str">
        <f>TEXT(Table1[[#This Row],[Order_Date]],"mmm")</f>
        <v>May</v>
      </c>
      <c r="D201">
        <f>YEAR(Table1[[#This Row],[Order_Date]])</f>
        <v>2025</v>
      </c>
      <c r="E201" t="s">
        <v>63</v>
      </c>
      <c r="F201" t="s">
        <v>64</v>
      </c>
      <c r="G201" t="s">
        <v>116</v>
      </c>
      <c r="H201" t="s">
        <v>626</v>
      </c>
      <c r="I201" t="s">
        <v>59</v>
      </c>
      <c r="J201" t="s">
        <v>51</v>
      </c>
      <c r="K201">
        <v>25</v>
      </c>
      <c r="L201">
        <v>77363</v>
      </c>
      <c r="M201">
        <v>65217</v>
      </c>
      <c r="N201">
        <v>12146</v>
      </c>
      <c r="O201" s="6">
        <f>Table1[[#This Row],[Profit]]/Table1[[#This Row],[Sales_Amount]]</f>
        <v>0.15700011633468194</v>
      </c>
      <c r="P201" t="s">
        <v>60</v>
      </c>
    </row>
    <row r="202" spans="1:16" x14ac:dyDescent="0.35">
      <c r="A202" t="s">
        <v>627</v>
      </c>
      <c r="B202" t="s">
        <v>628</v>
      </c>
      <c r="C202" t="str">
        <f>TEXT(Table1[[#This Row],[Order_Date]],"mmm")</f>
        <v>Feb</v>
      </c>
      <c r="D202">
        <f>YEAR(Table1[[#This Row],[Order_Date]])</f>
        <v>2025</v>
      </c>
      <c r="E202" t="s">
        <v>63</v>
      </c>
      <c r="F202" t="s">
        <v>64</v>
      </c>
      <c r="G202" t="s">
        <v>57</v>
      </c>
      <c r="H202" t="s">
        <v>629</v>
      </c>
      <c r="I202" t="s">
        <v>143</v>
      </c>
      <c r="J202" t="s">
        <v>51</v>
      </c>
      <c r="K202">
        <v>13</v>
      </c>
      <c r="L202">
        <v>104226</v>
      </c>
      <c r="M202">
        <v>52541</v>
      </c>
      <c r="N202">
        <v>51685</v>
      </c>
      <c r="O202" s="6">
        <f>Table1[[#This Row],[Profit]]/Table1[[#This Row],[Sales_Amount]]</f>
        <v>0.4958935390401627</v>
      </c>
      <c r="P202" t="s">
        <v>98</v>
      </c>
    </row>
    <row r="203" spans="1:16" x14ac:dyDescent="0.35">
      <c r="A203" t="s">
        <v>630</v>
      </c>
      <c r="B203" t="s">
        <v>631</v>
      </c>
      <c r="C203" t="str">
        <f>TEXT(Table1[[#This Row],[Order_Date]],"mmm")</f>
        <v>Sep</v>
      </c>
      <c r="D203">
        <f>YEAR(Table1[[#This Row],[Order_Date]])</f>
        <v>2025</v>
      </c>
      <c r="E203" t="s">
        <v>46</v>
      </c>
      <c r="F203" t="s">
        <v>74</v>
      </c>
      <c r="G203" t="s">
        <v>48</v>
      </c>
      <c r="H203" t="s">
        <v>632</v>
      </c>
      <c r="I203" t="s">
        <v>156</v>
      </c>
      <c r="J203" t="s">
        <v>157</v>
      </c>
      <c r="K203">
        <v>25</v>
      </c>
      <c r="L203">
        <v>22859</v>
      </c>
      <c r="M203">
        <v>18764</v>
      </c>
      <c r="N203">
        <v>4095</v>
      </c>
      <c r="O203" s="6">
        <f>Table1[[#This Row],[Profit]]/Table1[[#This Row],[Sales_Amount]]</f>
        <v>0.1791416947373026</v>
      </c>
      <c r="P203" t="s">
        <v>98</v>
      </c>
    </row>
    <row r="204" spans="1:16" x14ac:dyDescent="0.35">
      <c r="A204" t="s">
        <v>633</v>
      </c>
      <c r="B204" t="s">
        <v>634</v>
      </c>
      <c r="C204" t="str">
        <f>TEXT(Table1[[#This Row],[Order_Date]],"mmm")</f>
        <v>Jan</v>
      </c>
      <c r="D204">
        <f>YEAR(Table1[[#This Row],[Order_Date]])</f>
        <v>2025</v>
      </c>
      <c r="E204" t="s">
        <v>63</v>
      </c>
      <c r="F204" t="s">
        <v>64</v>
      </c>
      <c r="G204" t="s">
        <v>65</v>
      </c>
      <c r="H204" t="s">
        <v>635</v>
      </c>
      <c r="I204" t="s">
        <v>67</v>
      </c>
      <c r="J204" t="s">
        <v>51</v>
      </c>
      <c r="K204">
        <v>4</v>
      </c>
      <c r="L204">
        <v>113003</v>
      </c>
      <c r="M204">
        <v>73777</v>
      </c>
      <c r="N204">
        <v>39226</v>
      </c>
      <c r="O204" s="6">
        <f>Table1[[#This Row],[Profit]]/Table1[[#This Row],[Sales_Amount]]</f>
        <v>0.34712352769395505</v>
      </c>
      <c r="P204" t="s">
        <v>60</v>
      </c>
    </row>
    <row r="205" spans="1:16" x14ac:dyDescent="0.35">
      <c r="A205" t="s">
        <v>636</v>
      </c>
      <c r="B205" t="s">
        <v>534</v>
      </c>
      <c r="C205" t="str">
        <f>TEXT(Table1[[#This Row],[Order_Date]],"mmm")</f>
        <v>Jul</v>
      </c>
      <c r="D205">
        <f>YEAR(Table1[[#This Row],[Order_Date]])</f>
        <v>2025</v>
      </c>
      <c r="E205" t="s">
        <v>55</v>
      </c>
      <c r="F205" t="s">
        <v>56</v>
      </c>
      <c r="G205" t="s">
        <v>70</v>
      </c>
      <c r="H205" t="s">
        <v>637</v>
      </c>
      <c r="I205" t="s">
        <v>50</v>
      </c>
      <c r="J205" t="s">
        <v>51</v>
      </c>
      <c r="K205">
        <v>13</v>
      </c>
      <c r="L205">
        <v>52781</v>
      </c>
      <c r="M205">
        <v>36216</v>
      </c>
      <c r="N205">
        <v>16565</v>
      </c>
      <c r="O205" s="6">
        <f>Table1[[#This Row],[Profit]]/Table1[[#This Row],[Sales_Amount]]</f>
        <v>0.31384399689282128</v>
      </c>
      <c r="P205" t="s">
        <v>98</v>
      </c>
    </row>
    <row r="206" spans="1:16" x14ac:dyDescent="0.35">
      <c r="A206" t="s">
        <v>638</v>
      </c>
      <c r="B206" t="s">
        <v>639</v>
      </c>
      <c r="C206" t="str">
        <f>TEXT(Table1[[#This Row],[Order_Date]],"mmm")</f>
        <v>Dec</v>
      </c>
      <c r="D206">
        <f>YEAR(Table1[[#This Row],[Order_Date]])</f>
        <v>2025</v>
      </c>
      <c r="E206" t="s">
        <v>55</v>
      </c>
      <c r="F206" t="s">
        <v>188</v>
      </c>
      <c r="G206" t="s">
        <v>138</v>
      </c>
      <c r="H206" t="s">
        <v>640</v>
      </c>
      <c r="I206" t="s">
        <v>156</v>
      </c>
      <c r="J206" t="s">
        <v>157</v>
      </c>
      <c r="K206">
        <v>13</v>
      </c>
      <c r="L206">
        <v>117793</v>
      </c>
      <c r="M206">
        <v>74606</v>
      </c>
      <c r="N206">
        <v>43187</v>
      </c>
      <c r="O206" s="6">
        <f>Table1[[#This Row],[Profit]]/Table1[[#This Row],[Sales_Amount]]</f>
        <v>0.36663468966746748</v>
      </c>
      <c r="P206" t="s">
        <v>60</v>
      </c>
    </row>
    <row r="207" spans="1:16" x14ac:dyDescent="0.35">
      <c r="A207" t="s">
        <v>641</v>
      </c>
      <c r="B207" t="s">
        <v>642</v>
      </c>
      <c r="C207" t="str">
        <f>TEXT(Table1[[#This Row],[Order_Date]],"mmm")</f>
        <v>Sep</v>
      </c>
      <c r="D207">
        <f>YEAR(Table1[[#This Row],[Order_Date]])</f>
        <v>2025</v>
      </c>
      <c r="E207" t="s">
        <v>63</v>
      </c>
      <c r="F207" t="s">
        <v>104</v>
      </c>
      <c r="G207" t="s">
        <v>57</v>
      </c>
      <c r="H207" t="s">
        <v>643</v>
      </c>
      <c r="I207" t="s">
        <v>76</v>
      </c>
      <c r="J207" t="s">
        <v>77</v>
      </c>
      <c r="K207">
        <v>18</v>
      </c>
      <c r="L207">
        <v>64969</v>
      </c>
      <c r="M207">
        <v>54165</v>
      </c>
      <c r="N207">
        <v>10804</v>
      </c>
      <c r="O207" s="6">
        <f>Table1[[#This Row],[Profit]]/Table1[[#This Row],[Sales_Amount]]</f>
        <v>0.16629469439271036</v>
      </c>
      <c r="P207" t="s">
        <v>60</v>
      </c>
    </row>
    <row r="208" spans="1:16" x14ac:dyDescent="0.35">
      <c r="A208" t="s">
        <v>644</v>
      </c>
      <c r="B208" t="s">
        <v>333</v>
      </c>
      <c r="C208" t="str">
        <f>TEXT(Table1[[#This Row],[Order_Date]],"mmm")</f>
        <v>Dec</v>
      </c>
      <c r="D208">
        <f>YEAR(Table1[[#This Row],[Order_Date]])</f>
        <v>2025</v>
      </c>
      <c r="E208" t="s">
        <v>55</v>
      </c>
      <c r="F208" t="s">
        <v>56</v>
      </c>
      <c r="G208" t="s">
        <v>65</v>
      </c>
      <c r="H208" t="s">
        <v>645</v>
      </c>
      <c r="I208" t="s">
        <v>156</v>
      </c>
      <c r="J208" t="s">
        <v>157</v>
      </c>
      <c r="K208">
        <v>12</v>
      </c>
      <c r="L208">
        <v>74993</v>
      </c>
      <c r="M208">
        <v>61042</v>
      </c>
      <c r="N208">
        <v>13951</v>
      </c>
      <c r="O208" s="6">
        <f>Table1[[#This Row],[Profit]]/Table1[[#This Row],[Sales_Amount]]</f>
        <v>0.18603069619831183</v>
      </c>
      <c r="P208" t="s">
        <v>52</v>
      </c>
    </row>
    <row r="209" spans="1:16" x14ac:dyDescent="0.35">
      <c r="A209" t="s">
        <v>646</v>
      </c>
      <c r="B209" t="s">
        <v>548</v>
      </c>
      <c r="C209" t="str">
        <f>TEXT(Table1[[#This Row],[Order_Date]],"mmm")</f>
        <v>Sep</v>
      </c>
      <c r="D209">
        <f>YEAR(Table1[[#This Row],[Order_Date]])</f>
        <v>2025</v>
      </c>
      <c r="E209" t="s">
        <v>63</v>
      </c>
      <c r="F209" t="s">
        <v>104</v>
      </c>
      <c r="G209" t="s">
        <v>48</v>
      </c>
      <c r="H209" t="s">
        <v>647</v>
      </c>
      <c r="I209" t="s">
        <v>76</v>
      </c>
      <c r="J209" t="s">
        <v>77</v>
      </c>
      <c r="K209">
        <v>10</v>
      </c>
      <c r="L209">
        <v>12204</v>
      </c>
      <c r="M209">
        <v>6625</v>
      </c>
      <c r="N209">
        <v>5579</v>
      </c>
      <c r="O209" s="6">
        <f>Table1[[#This Row],[Profit]]/Table1[[#This Row],[Sales_Amount]]</f>
        <v>0.45714519829564076</v>
      </c>
      <c r="P209" t="s">
        <v>52</v>
      </c>
    </row>
    <row r="210" spans="1:16" x14ac:dyDescent="0.35">
      <c r="A210" t="s">
        <v>648</v>
      </c>
      <c r="B210" t="s">
        <v>649</v>
      </c>
      <c r="C210" t="str">
        <f>TEXT(Table1[[#This Row],[Order_Date]],"mmm")</f>
        <v>Oct</v>
      </c>
      <c r="D210">
        <f>YEAR(Table1[[#This Row],[Order_Date]])</f>
        <v>2025</v>
      </c>
      <c r="E210" t="s">
        <v>111</v>
      </c>
      <c r="F210" t="s">
        <v>169</v>
      </c>
      <c r="G210" t="s">
        <v>80</v>
      </c>
      <c r="H210" t="s">
        <v>650</v>
      </c>
      <c r="I210" t="s">
        <v>59</v>
      </c>
      <c r="J210" t="s">
        <v>51</v>
      </c>
      <c r="K210">
        <v>6</v>
      </c>
      <c r="L210">
        <v>100912</v>
      </c>
      <c r="M210">
        <v>67901</v>
      </c>
      <c r="N210">
        <v>33011</v>
      </c>
      <c r="O210" s="6">
        <f>Table1[[#This Row],[Profit]]/Table1[[#This Row],[Sales_Amount]]</f>
        <v>0.3271266053591248</v>
      </c>
      <c r="P210" t="s">
        <v>52</v>
      </c>
    </row>
    <row r="211" spans="1:16" x14ac:dyDescent="0.35">
      <c r="A211" t="s">
        <v>651</v>
      </c>
      <c r="B211" t="s">
        <v>652</v>
      </c>
      <c r="C211" t="str">
        <f>TEXT(Table1[[#This Row],[Order_Date]],"mmm")</f>
        <v>Jul</v>
      </c>
      <c r="D211">
        <f>YEAR(Table1[[#This Row],[Order_Date]])</f>
        <v>2025</v>
      </c>
      <c r="E211" t="s">
        <v>55</v>
      </c>
      <c r="F211" t="s">
        <v>56</v>
      </c>
      <c r="G211" t="s">
        <v>57</v>
      </c>
      <c r="H211" t="s">
        <v>653</v>
      </c>
      <c r="I211" t="s">
        <v>125</v>
      </c>
      <c r="J211" t="s">
        <v>83</v>
      </c>
      <c r="K211">
        <v>16</v>
      </c>
      <c r="L211">
        <v>70615</v>
      </c>
      <c r="M211">
        <v>53981</v>
      </c>
      <c r="N211">
        <v>16634</v>
      </c>
      <c r="O211" s="6">
        <f>Table1[[#This Row],[Profit]]/Table1[[#This Row],[Sales_Amount]]</f>
        <v>0.23555901720597608</v>
      </c>
      <c r="P211" t="s">
        <v>60</v>
      </c>
    </row>
    <row r="212" spans="1:16" x14ac:dyDescent="0.35">
      <c r="A212" t="s">
        <v>654</v>
      </c>
      <c r="B212" t="s">
        <v>425</v>
      </c>
      <c r="C212" t="str">
        <f>TEXT(Table1[[#This Row],[Order_Date]],"mmm")</f>
        <v>Apr</v>
      </c>
      <c r="D212">
        <f>YEAR(Table1[[#This Row],[Order_Date]])</f>
        <v>2025</v>
      </c>
      <c r="E212" t="s">
        <v>46</v>
      </c>
      <c r="F212" t="s">
        <v>47</v>
      </c>
      <c r="G212" t="s">
        <v>70</v>
      </c>
      <c r="H212" t="s">
        <v>655</v>
      </c>
      <c r="I212" t="s">
        <v>156</v>
      </c>
      <c r="J212" t="s">
        <v>157</v>
      </c>
      <c r="K212">
        <v>9</v>
      </c>
      <c r="L212">
        <v>26329</v>
      </c>
      <c r="M212">
        <v>22008</v>
      </c>
      <c r="N212">
        <v>4321</v>
      </c>
      <c r="O212" s="6">
        <f>Table1[[#This Row],[Profit]]/Table1[[#This Row],[Sales_Amount]]</f>
        <v>0.16411561396179117</v>
      </c>
      <c r="P212" t="s">
        <v>98</v>
      </c>
    </row>
    <row r="213" spans="1:16" x14ac:dyDescent="0.35">
      <c r="A213" t="s">
        <v>656</v>
      </c>
      <c r="B213" t="s">
        <v>657</v>
      </c>
      <c r="C213" t="str">
        <f>TEXT(Table1[[#This Row],[Order_Date]],"mmm")</f>
        <v>Jul</v>
      </c>
      <c r="D213">
        <f>YEAR(Table1[[#This Row],[Order_Date]])</f>
        <v>2025</v>
      </c>
      <c r="E213" t="s">
        <v>63</v>
      </c>
      <c r="F213" t="s">
        <v>64</v>
      </c>
      <c r="G213" t="s">
        <v>48</v>
      </c>
      <c r="H213" t="s">
        <v>658</v>
      </c>
      <c r="I213" t="s">
        <v>125</v>
      </c>
      <c r="J213" t="s">
        <v>83</v>
      </c>
      <c r="K213">
        <v>24</v>
      </c>
      <c r="L213">
        <v>33781</v>
      </c>
      <c r="M213">
        <v>18312</v>
      </c>
      <c r="N213">
        <v>15469</v>
      </c>
      <c r="O213" s="6">
        <f>Table1[[#This Row],[Profit]]/Table1[[#This Row],[Sales_Amount]]</f>
        <v>0.45792013261892778</v>
      </c>
      <c r="P213" t="s">
        <v>121</v>
      </c>
    </row>
    <row r="214" spans="1:16" x14ac:dyDescent="0.35">
      <c r="A214" t="s">
        <v>661</v>
      </c>
      <c r="B214" t="s">
        <v>662</v>
      </c>
      <c r="C214" t="str">
        <f>TEXT(Table1[[#This Row],[Order_Date]],"mmm")</f>
        <v>May</v>
      </c>
      <c r="D214">
        <f>YEAR(Table1[[#This Row],[Order_Date]])</f>
        <v>2025</v>
      </c>
      <c r="E214" t="s">
        <v>55</v>
      </c>
      <c r="F214" t="s">
        <v>188</v>
      </c>
      <c r="G214" t="s">
        <v>65</v>
      </c>
      <c r="H214" t="s">
        <v>663</v>
      </c>
      <c r="I214" t="s">
        <v>67</v>
      </c>
      <c r="J214" t="s">
        <v>51</v>
      </c>
      <c r="K214">
        <v>6</v>
      </c>
      <c r="L214">
        <v>76644</v>
      </c>
      <c r="M214">
        <v>44223</v>
      </c>
      <c r="N214">
        <v>32421</v>
      </c>
      <c r="O214" s="6">
        <f>Table1[[#This Row],[Profit]]/Table1[[#This Row],[Sales_Amount]]</f>
        <v>0.42300767183341159</v>
      </c>
      <c r="P214" t="s">
        <v>98</v>
      </c>
    </row>
    <row r="215" spans="1:16" x14ac:dyDescent="0.35">
      <c r="A215" t="s">
        <v>665</v>
      </c>
      <c r="B215" t="s">
        <v>666</v>
      </c>
      <c r="C215" t="str">
        <f>TEXT(Table1[[#This Row],[Order_Date]],"mmm")</f>
        <v>Jul</v>
      </c>
      <c r="D215">
        <f>YEAR(Table1[[#This Row],[Order_Date]])</f>
        <v>2025</v>
      </c>
      <c r="E215" t="s">
        <v>55</v>
      </c>
      <c r="F215" t="s">
        <v>188</v>
      </c>
      <c r="G215" t="s">
        <v>57</v>
      </c>
      <c r="H215" t="s">
        <v>667</v>
      </c>
      <c r="I215" t="s">
        <v>87</v>
      </c>
      <c r="J215" t="s">
        <v>88</v>
      </c>
      <c r="K215">
        <v>2</v>
      </c>
      <c r="L215">
        <v>5836</v>
      </c>
      <c r="M215">
        <v>4055</v>
      </c>
      <c r="N215">
        <v>1781</v>
      </c>
      <c r="O215" s="6">
        <f>Table1[[#This Row],[Profit]]/Table1[[#This Row],[Sales_Amount]]</f>
        <v>0.30517477724468817</v>
      </c>
      <c r="P215" t="s">
        <v>98</v>
      </c>
    </row>
    <row r="216" spans="1:16" x14ac:dyDescent="0.35">
      <c r="A216" t="s">
        <v>668</v>
      </c>
      <c r="B216" t="s">
        <v>639</v>
      </c>
      <c r="C216" t="str">
        <f>TEXT(Table1[[#This Row],[Order_Date]],"mmm")</f>
        <v>Dec</v>
      </c>
      <c r="D216">
        <f>YEAR(Table1[[#This Row],[Order_Date]])</f>
        <v>2025</v>
      </c>
      <c r="E216" t="s">
        <v>46</v>
      </c>
      <c r="F216" t="s">
        <v>74</v>
      </c>
      <c r="G216" t="s">
        <v>128</v>
      </c>
      <c r="H216" t="s">
        <v>669</v>
      </c>
      <c r="I216" t="s">
        <v>156</v>
      </c>
      <c r="J216" t="s">
        <v>157</v>
      </c>
      <c r="K216">
        <v>6</v>
      </c>
      <c r="L216">
        <v>106151</v>
      </c>
      <c r="M216">
        <v>70004</v>
      </c>
      <c r="N216">
        <v>36147</v>
      </c>
      <c r="O216" s="6">
        <f>Table1[[#This Row],[Profit]]/Table1[[#This Row],[Sales_Amount]]</f>
        <v>0.34052434739192283</v>
      </c>
      <c r="P216" t="s">
        <v>52</v>
      </c>
    </row>
    <row r="217" spans="1:16" x14ac:dyDescent="0.35">
      <c r="A217" t="s">
        <v>670</v>
      </c>
      <c r="B217" t="s">
        <v>321</v>
      </c>
      <c r="C217" t="str">
        <f>TEXT(Table1[[#This Row],[Order_Date]],"mmm")</f>
        <v>Dec</v>
      </c>
      <c r="D217">
        <f>YEAR(Table1[[#This Row],[Order_Date]])</f>
        <v>2025</v>
      </c>
      <c r="E217" t="s">
        <v>46</v>
      </c>
      <c r="F217" t="s">
        <v>47</v>
      </c>
      <c r="G217" t="s">
        <v>48</v>
      </c>
      <c r="H217" t="s">
        <v>671</v>
      </c>
      <c r="I217" t="s">
        <v>67</v>
      </c>
      <c r="J217" t="s">
        <v>51</v>
      </c>
      <c r="K217">
        <v>6</v>
      </c>
      <c r="L217">
        <v>99494</v>
      </c>
      <c r="M217">
        <v>46408</v>
      </c>
      <c r="N217">
        <v>53086</v>
      </c>
      <c r="O217" s="6">
        <f>Table1[[#This Row],[Profit]]/Table1[[#This Row],[Sales_Amount]]</f>
        <v>0.53355981265201924</v>
      </c>
      <c r="P217" t="s">
        <v>60</v>
      </c>
    </row>
    <row r="218" spans="1:16" x14ac:dyDescent="0.35">
      <c r="A218" t="s">
        <v>672</v>
      </c>
      <c r="B218" t="s">
        <v>673</v>
      </c>
      <c r="C218" t="str">
        <f>TEXT(Table1[[#This Row],[Order_Date]],"mmm")</f>
        <v>Jan</v>
      </c>
      <c r="D218">
        <f>YEAR(Table1[[#This Row],[Order_Date]])</f>
        <v>2025</v>
      </c>
      <c r="E218" t="s">
        <v>63</v>
      </c>
      <c r="F218" t="s">
        <v>104</v>
      </c>
      <c r="G218" t="s">
        <v>138</v>
      </c>
      <c r="H218" t="s">
        <v>674</v>
      </c>
      <c r="I218" t="s">
        <v>87</v>
      </c>
      <c r="J218" t="s">
        <v>88</v>
      </c>
      <c r="K218">
        <v>10</v>
      </c>
      <c r="L218">
        <v>47580</v>
      </c>
      <c r="M218">
        <v>24401</v>
      </c>
      <c r="N218">
        <v>23179</v>
      </c>
      <c r="O218" s="6">
        <f>Table1[[#This Row],[Profit]]/Table1[[#This Row],[Sales_Amount]]</f>
        <v>0.48715846994535517</v>
      </c>
      <c r="P218" t="s">
        <v>98</v>
      </c>
    </row>
    <row r="219" spans="1:16" x14ac:dyDescent="0.35">
      <c r="A219" t="s">
        <v>675</v>
      </c>
      <c r="B219" t="s">
        <v>200</v>
      </c>
      <c r="C219" t="str">
        <f>TEXT(Table1[[#This Row],[Order_Date]],"mmm")</f>
        <v>Nov</v>
      </c>
      <c r="D219">
        <f>YEAR(Table1[[#This Row],[Order_Date]])</f>
        <v>2025</v>
      </c>
      <c r="E219" t="s">
        <v>63</v>
      </c>
      <c r="F219" t="s">
        <v>64</v>
      </c>
      <c r="G219" t="s">
        <v>128</v>
      </c>
      <c r="H219" t="s">
        <v>676</v>
      </c>
      <c r="I219" t="s">
        <v>76</v>
      </c>
      <c r="J219" t="s">
        <v>77</v>
      </c>
      <c r="K219">
        <v>3</v>
      </c>
      <c r="L219">
        <v>117813</v>
      </c>
      <c r="M219">
        <v>60302</v>
      </c>
      <c r="N219">
        <v>57511</v>
      </c>
      <c r="O219" s="6">
        <f>Table1[[#This Row],[Profit]]/Table1[[#This Row],[Sales_Amount]]</f>
        <v>0.48815495743254139</v>
      </c>
      <c r="P219" t="s">
        <v>98</v>
      </c>
    </row>
    <row r="220" spans="1:16" x14ac:dyDescent="0.35">
      <c r="A220" t="s">
        <v>677</v>
      </c>
      <c r="B220" t="s">
        <v>678</v>
      </c>
      <c r="C220" t="str">
        <f>TEXT(Table1[[#This Row],[Order_Date]],"mmm")</f>
        <v>Feb</v>
      </c>
      <c r="D220">
        <f>YEAR(Table1[[#This Row],[Order_Date]])</f>
        <v>2025</v>
      </c>
      <c r="E220" t="s">
        <v>55</v>
      </c>
      <c r="F220" t="s">
        <v>56</v>
      </c>
      <c r="G220" t="s">
        <v>65</v>
      </c>
      <c r="H220" t="s">
        <v>679</v>
      </c>
      <c r="I220" t="s">
        <v>87</v>
      </c>
      <c r="J220" t="s">
        <v>88</v>
      </c>
      <c r="K220">
        <v>24</v>
      </c>
      <c r="L220">
        <v>70335</v>
      </c>
      <c r="M220">
        <v>32450</v>
      </c>
      <c r="N220">
        <v>37885</v>
      </c>
      <c r="O220" s="6">
        <f>Table1[[#This Row],[Profit]]/Table1[[#This Row],[Sales_Amount]]</f>
        <v>0.53863652520082461</v>
      </c>
      <c r="P220" t="s">
        <v>121</v>
      </c>
    </row>
    <row r="221" spans="1:16" x14ac:dyDescent="0.35">
      <c r="A221" t="s">
        <v>680</v>
      </c>
      <c r="B221" t="s">
        <v>681</v>
      </c>
      <c r="C221" t="str">
        <f>TEXT(Table1[[#This Row],[Order_Date]],"mmm")</f>
        <v>May</v>
      </c>
      <c r="D221">
        <f>YEAR(Table1[[#This Row],[Order_Date]])</f>
        <v>2025</v>
      </c>
      <c r="E221" t="s">
        <v>111</v>
      </c>
      <c r="F221" t="s">
        <v>112</v>
      </c>
      <c r="G221" t="s">
        <v>57</v>
      </c>
      <c r="H221" t="s">
        <v>682</v>
      </c>
      <c r="I221" t="s">
        <v>82</v>
      </c>
      <c r="J221" t="s">
        <v>83</v>
      </c>
      <c r="K221">
        <v>11</v>
      </c>
      <c r="L221">
        <v>109024</v>
      </c>
      <c r="M221">
        <v>74705</v>
      </c>
      <c r="N221">
        <v>34319</v>
      </c>
      <c r="O221" s="6">
        <f>Table1[[#This Row],[Profit]]/Table1[[#This Row],[Sales_Amount]]</f>
        <v>0.31478390079248608</v>
      </c>
      <c r="P221" t="s">
        <v>60</v>
      </c>
    </row>
    <row r="222" spans="1:16" x14ac:dyDescent="0.35">
      <c r="A222" t="s">
        <v>683</v>
      </c>
      <c r="B222" t="s">
        <v>460</v>
      </c>
      <c r="C222" t="str">
        <f>TEXT(Table1[[#This Row],[Order_Date]],"mmm")</f>
        <v>Nov</v>
      </c>
      <c r="D222">
        <f>YEAR(Table1[[#This Row],[Order_Date]])</f>
        <v>2025</v>
      </c>
      <c r="E222" t="s">
        <v>63</v>
      </c>
      <c r="F222" t="s">
        <v>104</v>
      </c>
      <c r="G222" t="s">
        <v>57</v>
      </c>
      <c r="H222" t="s">
        <v>684</v>
      </c>
      <c r="I222" t="s">
        <v>59</v>
      </c>
      <c r="J222" t="s">
        <v>51</v>
      </c>
      <c r="K222">
        <v>9</v>
      </c>
      <c r="L222">
        <v>35487</v>
      </c>
      <c r="M222">
        <v>17469</v>
      </c>
      <c r="N222">
        <v>18018</v>
      </c>
      <c r="O222" s="6">
        <f>Table1[[#This Row],[Profit]]/Table1[[#This Row],[Sales_Amount]]</f>
        <v>0.50773522698452955</v>
      </c>
      <c r="P222" t="s">
        <v>52</v>
      </c>
    </row>
    <row r="223" spans="1:16" x14ac:dyDescent="0.35">
      <c r="A223" t="s">
        <v>685</v>
      </c>
      <c r="B223" t="s">
        <v>262</v>
      </c>
      <c r="C223" t="str">
        <f>TEXT(Table1[[#This Row],[Order_Date]],"mmm")</f>
        <v>Mar</v>
      </c>
      <c r="D223">
        <f>YEAR(Table1[[#This Row],[Order_Date]])</f>
        <v>2025</v>
      </c>
      <c r="E223" t="s">
        <v>63</v>
      </c>
      <c r="F223" t="s">
        <v>104</v>
      </c>
      <c r="G223" t="s">
        <v>138</v>
      </c>
      <c r="H223" t="s">
        <v>686</v>
      </c>
      <c r="I223" t="s">
        <v>59</v>
      </c>
      <c r="J223" t="s">
        <v>51</v>
      </c>
      <c r="K223">
        <v>25</v>
      </c>
      <c r="L223">
        <v>15207</v>
      </c>
      <c r="M223">
        <v>7043</v>
      </c>
      <c r="N223">
        <v>8164</v>
      </c>
      <c r="O223" s="6">
        <f>Table1[[#This Row],[Profit]]/Table1[[#This Row],[Sales_Amount]]</f>
        <v>0.5368580259091208</v>
      </c>
      <c r="P223" t="s">
        <v>98</v>
      </c>
    </row>
    <row r="224" spans="1:16" x14ac:dyDescent="0.35">
      <c r="A224" t="s">
        <v>687</v>
      </c>
      <c r="B224" t="s">
        <v>45</v>
      </c>
      <c r="C224" t="str">
        <f>TEXT(Table1[[#This Row],[Order_Date]],"mmm")</f>
        <v>Jul</v>
      </c>
      <c r="D224">
        <f>YEAR(Table1[[#This Row],[Order_Date]])</f>
        <v>2025</v>
      </c>
      <c r="E224" t="s">
        <v>55</v>
      </c>
      <c r="F224" t="s">
        <v>56</v>
      </c>
      <c r="G224" t="s">
        <v>80</v>
      </c>
      <c r="H224" t="s">
        <v>688</v>
      </c>
      <c r="I224" t="s">
        <v>156</v>
      </c>
      <c r="J224" t="s">
        <v>157</v>
      </c>
      <c r="K224">
        <v>8</v>
      </c>
      <c r="L224">
        <v>90704</v>
      </c>
      <c r="M224">
        <v>57795</v>
      </c>
      <c r="N224">
        <v>32909</v>
      </c>
      <c r="O224" s="6">
        <f>Table1[[#This Row],[Profit]]/Table1[[#This Row],[Sales_Amount]]</f>
        <v>0.36281751631681075</v>
      </c>
      <c r="P224" t="s">
        <v>98</v>
      </c>
    </row>
    <row r="225" spans="1:16" x14ac:dyDescent="0.35">
      <c r="A225" t="s">
        <v>689</v>
      </c>
      <c r="B225" t="s">
        <v>690</v>
      </c>
      <c r="C225" t="str">
        <f>TEXT(Table1[[#This Row],[Order_Date]],"mmm")</f>
        <v>Jul</v>
      </c>
      <c r="D225">
        <f>YEAR(Table1[[#This Row],[Order_Date]])</f>
        <v>2025</v>
      </c>
      <c r="E225" t="s">
        <v>55</v>
      </c>
      <c r="F225" t="s">
        <v>188</v>
      </c>
      <c r="G225" t="s">
        <v>70</v>
      </c>
      <c r="H225" t="s">
        <v>691</v>
      </c>
      <c r="I225" t="s">
        <v>87</v>
      </c>
      <c r="J225" t="s">
        <v>88</v>
      </c>
      <c r="K225">
        <v>20</v>
      </c>
      <c r="L225">
        <v>17864</v>
      </c>
      <c r="M225">
        <v>14878</v>
      </c>
      <c r="N225">
        <v>2986</v>
      </c>
      <c r="O225" s="6">
        <f>Table1[[#This Row],[Profit]]/Table1[[#This Row],[Sales_Amount]]</f>
        <v>0.16715181370353785</v>
      </c>
      <c r="P225" t="s">
        <v>60</v>
      </c>
    </row>
    <row r="226" spans="1:16" x14ac:dyDescent="0.35">
      <c r="A226" t="s">
        <v>692</v>
      </c>
      <c r="B226" t="s">
        <v>693</v>
      </c>
      <c r="C226" t="str">
        <f>TEXT(Table1[[#This Row],[Order_Date]],"mmm")</f>
        <v>Feb</v>
      </c>
      <c r="D226">
        <f>YEAR(Table1[[#This Row],[Order_Date]])</f>
        <v>2025</v>
      </c>
      <c r="E226" t="s">
        <v>55</v>
      </c>
      <c r="F226" t="s">
        <v>56</v>
      </c>
      <c r="G226" t="s">
        <v>48</v>
      </c>
      <c r="H226" t="s">
        <v>694</v>
      </c>
      <c r="I226" t="s">
        <v>76</v>
      </c>
      <c r="J226" t="s">
        <v>77</v>
      </c>
      <c r="K226">
        <v>3</v>
      </c>
      <c r="L226">
        <v>20151</v>
      </c>
      <c r="M226">
        <v>9627</v>
      </c>
      <c r="N226">
        <v>10524</v>
      </c>
      <c r="O226" s="6">
        <f>Table1[[#This Row],[Profit]]/Table1[[#This Row],[Sales_Amount]]</f>
        <v>0.52225695995235966</v>
      </c>
      <c r="P226" t="s">
        <v>52</v>
      </c>
    </row>
    <row r="227" spans="1:16" x14ac:dyDescent="0.35">
      <c r="A227" t="s">
        <v>695</v>
      </c>
      <c r="B227" t="s">
        <v>696</v>
      </c>
      <c r="C227" t="str">
        <f>TEXT(Table1[[#This Row],[Order_Date]],"mmm")</f>
        <v>Oct</v>
      </c>
      <c r="D227">
        <f>YEAR(Table1[[#This Row],[Order_Date]])</f>
        <v>2025</v>
      </c>
      <c r="E227" t="s">
        <v>46</v>
      </c>
      <c r="F227" t="s">
        <v>47</v>
      </c>
      <c r="G227" t="s">
        <v>80</v>
      </c>
      <c r="H227" t="s">
        <v>697</v>
      </c>
      <c r="I227" t="s">
        <v>82</v>
      </c>
      <c r="J227" t="s">
        <v>83</v>
      </c>
      <c r="K227">
        <v>23</v>
      </c>
      <c r="L227">
        <v>4331</v>
      </c>
      <c r="M227">
        <v>3346</v>
      </c>
      <c r="N227">
        <v>985</v>
      </c>
      <c r="O227" s="6">
        <f>Table1[[#This Row],[Profit]]/Table1[[#This Row],[Sales_Amount]]</f>
        <v>0.22743015469868391</v>
      </c>
      <c r="P227" t="s">
        <v>60</v>
      </c>
    </row>
    <row r="228" spans="1:16" x14ac:dyDescent="0.35">
      <c r="A228" t="s">
        <v>698</v>
      </c>
      <c r="B228" t="s">
        <v>699</v>
      </c>
      <c r="C228" t="str">
        <f>TEXT(Table1[[#This Row],[Order_Date]],"mmm")</f>
        <v>Jan</v>
      </c>
      <c r="D228">
        <f>YEAR(Table1[[#This Row],[Order_Date]])</f>
        <v>2025</v>
      </c>
      <c r="E228" t="s">
        <v>55</v>
      </c>
      <c r="F228" t="s">
        <v>188</v>
      </c>
      <c r="G228" t="s">
        <v>48</v>
      </c>
      <c r="H228" t="s">
        <v>700</v>
      </c>
      <c r="I228" t="s">
        <v>156</v>
      </c>
      <c r="J228" t="s">
        <v>157</v>
      </c>
      <c r="K228">
        <v>16</v>
      </c>
      <c r="L228">
        <v>77786</v>
      </c>
      <c r="M228">
        <v>58511</v>
      </c>
      <c r="N228">
        <v>19275</v>
      </c>
      <c r="O228" s="6">
        <f>Table1[[#This Row],[Profit]]/Table1[[#This Row],[Sales_Amount]]</f>
        <v>0.24779523307536061</v>
      </c>
      <c r="P228" t="s">
        <v>98</v>
      </c>
    </row>
    <row r="229" spans="1:16" x14ac:dyDescent="0.35">
      <c r="A229" t="s">
        <v>701</v>
      </c>
      <c r="B229" t="s">
        <v>642</v>
      </c>
      <c r="C229" t="str">
        <f>TEXT(Table1[[#This Row],[Order_Date]],"mmm")</f>
        <v>Sep</v>
      </c>
      <c r="D229">
        <f>YEAR(Table1[[#This Row],[Order_Date]])</f>
        <v>2025</v>
      </c>
      <c r="E229" t="s">
        <v>46</v>
      </c>
      <c r="F229" t="s">
        <v>47</v>
      </c>
      <c r="G229" t="s">
        <v>138</v>
      </c>
      <c r="H229" t="s">
        <v>702</v>
      </c>
      <c r="I229" t="s">
        <v>143</v>
      </c>
      <c r="J229" t="s">
        <v>51</v>
      </c>
      <c r="K229">
        <v>18</v>
      </c>
      <c r="L229">
        <v>22012</v>
      </c>
      <c r="M229">
        <v>17252</v>
      </c>
      <c r="N229">
        <v>4760</v>
      </c>
      <c r="O229" s="6">
        <f>Table1[[#This Row],[Profit]]/Table1[[#This Row],[Sales_Amount]]</f>
        <v>0.21624568417226966</v>
      </c>
      <c r="P229" t="s">
        <v>98</v>
      </c>
    </row>
    <row r="230" spans="1:16" x14ac:dyDescent="0.35">
      <c r="A230" t="s">
        <v>703</v>
      </c>
      <c r="B230" t="s">
        <v>115</v>
      </c>
      <c r="C230" t="str">
        <f>TEXT(Table1[[#This Row],[Order_Date]],"mmm")</f>
        <v>Mar</v>
      </c>
      <c r="D230">
        <f>YEAR(Table1[[#This Row],[Order_Date]])</f>
        <v>2025</v>
      </c>
      <c r="E230" t="s">
        <v>55</v>
      </c>
      <c r="F230" t="s">
        <v>56</v>
      </c>
      <c r="G230" t="s">
        <v>65</v>
      </c>
      <c r="H230" t="s">
        <v>704</v>
      </c>
      <c r="I230" t="s">
        <v>87</v>
      </c>
      <c r="J230" t="s">
        <v>88</v>
      </c>
      <c r="K230">
        <v>19</v>
      </c>
      <c r="L230">
        <v>90706</v>
      </c>
      <c r="M230">
        <v>47893</v>
      </c>
      <c r="N230">
        <v>42813</v>
      </c>
      <c r="O230" s="6">
        <f>Table1[[#This Row],[Profit]]/Table1[[#This Row],[Sales_Amount]]</f>
        <v>0.47199744228606705</v>
      </c>
      <c r="P230" t="s">
        <v>121</v>
      </c>
    </row>
    <row r="231" spans="1:16" x14ac:dyDescent="0.35">
      <c r="A231" t="s">
        <v>705</v>
      </c>
      <c r="B231" t="s">
        <v>141</v>
      </c>
      <c r="C231" t="str">
        <f>TEXT(Table1[[#This Row],[Order_Date]],"mmm")</f>
        <v>Sep</v>
      </c>
      <c r="D231">
        <f>YEAR(Table1[[#This Row],[Order_Date]])</f>
        <v>2025</v>
      </c>
      <c r="E231" t="s">
        <v>46</v>
      </c>
      <c r="F231" t="s">
        <v>47</v>
      </c>
      <c r="G231" t="s">
        <v>80</v>
      </c>
      <c r="H231" t="s">
        <v>706</v>
      </c>
      <c r="I231" t="s">
        <v>82</v>
      </c>
      <c r="J231" t="s">
        <v>83</v>
      </c>
      <c r="K231">
        <v>12</v>
      </c>
      <c r="L231">
        <v>50618</v>
      </c>
      <c r="M231">
        <v>34089</v>
      </c>
      <c r="N231">
        <v>16529</v>
      </c>
      <c r="O231" s="6">
        <f>Table1[[#This Row],[Profit]]/Table1[[#This Row],[Sales_Amount]]</f>
        <v>0.32654391718361059</v>
      </c>
      <c r="P231" t="s">
        <v>60</v>
      </c>
    </row>
    <row r="232" spans="1:16" x14ac:dyDescent="0.35">
      <c r="A232" t="s">
        <v>707</v>
      </c>
      <c r="B232" t="s">
        <v>708</v>
      </c>
      <c r="C232" t="str">
        <f>TEXT(Table1[[#This Row],[Order_Date]],"mmm")</f>
        <v>Dec</v>
      </c>
      <c r="D232">
        <f>YEAR(Table1[[#This Row],[Order_Date]])</f>
        <v>2025</v>
      </c>
      <c r="E232" t="s">
        <v>63</v>
      </c>
      <c r="F232" t="s">
        <v>104</v>
      </c>
      <c r="G232" t="s">
        <v>138</v>
      </c>
      <c r="H232" t="s">
        <v>709</v>
      </c>
      <c r="I232" t="s">
        <v>50</v>
      </c>
      <c r="J232" t="s">
        <v>51</v>
      </c>
      <c r="K232">
        <v>23</v>
      </c>
      <c r="L232">
        <v>107844</v>
      </c>
      <c r="M232">
        <v>64310</v>
      </c>
      <c r="N232">
        <v>43534</v>
      </c>
      <c r="O232" s="6">
        <f>Table1[[#This Row],[Profit]]/Table1[[#This Row],[Sales_Amount]]</f>
        <v>0.40367567968547163</v>
      </c>
      <c r="P232" t="s">
        <v>98</v>
      </c>
    </row>
    <row r="233" spans="1:16" x14ac:dyDescent="0.35">
      <c r="A233" t="s">
        <v>710</v>
      </c>
      <c r="B233" t="s">
        <v>711</v>
      </c>
      <c r="C233" t="str">
        <f>TEXT(Table1[[#This Row],[Order_Date]],"mmm")</f>
        <v>Sep</v>
      </c>
      <c r="D233">
        <f>YEAR(Table1[[#This Row],[Order_Date]])</f>
        <v>2025</v>
      </c>
      <c r="E233" t="s">
        <v>111</v>
      </c>
      <c r="F233" t="s">
        <v>112</v>
      </c>
      <c r="G233" t="s">
        <v>57</v>
      </c>
      <c r="H233" t="s">
        <v>712</v>
      </c>
      <c r="I233" t="s">
        <v>156</v>
      </c>
      <c r="J233" t="s">
        <v>157</v>
      </c>
      <c r="K233">
        <v>13</v>
      </c>
      <c r="L233">
        <v>78701</v>
      </c>
      <c r="M233">
        <v>54529</v>
      </c>
      <c r="N233">
        <v>24172</v>
      </c>
      <c r="O233" s="6">
        <f>Table1[[#This Row],[Profit]]/Table1[[#This Row],[Sales_Amount]]</f>
        <v>0.30713713929937358</v>
      </c>
      <c r="P233" t="s">
        <v>52</v>
      </c>
    </row>
    <row r="234" spans="1:16" x14ac:dyDescent="0.35">
      <c r="A234" t="s">
        <v>713</v>
      </c>
      <c r="B234" t="s">
        <v>714</v>
      </c>
      <c r="C234" t="str">
        <f>TEXT(Table1[[#This Row],[Order_Date]],"mmm")</f>
        <v>Jan</v>
      </c>
      <c r="D234">
        <f>YEAR(Table1[[#This Row],[Order_Date]])</f>
        <v>2025</v>
      </c>
      <c r="E234" t="s">
        <v>111</v>
      </c>
      <c r="F234" t="s">
        <v>112</v>
      </c>
      <c r="G234" t="s">
        <v>80</v>
      </c>
      <c r="H234" t="s">
        <v>715</v>
      </c>
      <c r="I234" t="s">
        <v>156</v>
      </c>
      <c r="J234" t="s">
        <v>157</v>
      </c>
      <c r="K234">
        <v>10</v>
      </c>
      <c r="L234">
        <v>14748</v>
      </c>
      <c r="M234">
        <v>10441</v>
      </c>
      <c r="N234">
        <v>4307</v>
      </c>
      <c r="O234" s="6">
        <f>Table1[[#This Row],[Profit]]/Table1[[#This Row],[Sales_Amount]]</f>
        <v>0.29203959858963929</v>
      </c>
      <c r="P234" t="s">
        <v>52</v>
      </c>
    </row>
    <row r="235" spans="1:16" x14ac:dyDescent="0.35">
      <c r="A235" t="s">
        <v>716</v>
      </c>
      <c r="B235" t="s">
        <v>299</v>
      </c>
      <c r="C235" t="str">
        <f>TEXT(Table1[[#This Row],[Order_Date]],"mmm")</f>
        <v>Mar</v>
      </c>
      <c r="D235">
        <f>YEAR(Table1[[#This Row],[Order_Date]])</f>
        <v>2025</v>
      </c>
      <c r="E235" t="s">
        <v>55</v>
      </c>
      <c r="F235" t="s">
        <v>56</v>
      </c>
      <c r="G235" t="s">
        <v>57</v>
      </c>
      <c r="H235" t="s">
        <v>717</v>
      </c>
      <c r="I235" t="s">
        <v>125</v>
      </c>
      <c r="J235" t="s">
        <v>83</v>
      </c>
      <c r="K235">
        <v>24</v>
      </c>
      <c r="L235">
        <v>15136</v>
      </c>
      <c r="M235">
        <v>8480</v>
      </c>
      <c r="N235">
        <v>6656</v>
      </c>
      <c r="O235" s="6">
        <f>Table1[[#This Row],[Profit]]/Table1[[#This Row],[Sales_Amount]]</f>
        <v>0.43974630021141647</v>
      </c>
      <c r="P235" t="s">
        <v>52</v>
      </c>
    </row>
    <row r="236" spans="1:16" x14ac:dyDescent="0.35">
      <c r="A236" t="s">
        <v>718</v>
      </c>
      <c r="B236" t="s">
        <v>719</v>
      </c>
      <c r="C236" t="str">
        <f>TEXT(Table1[[#This Row],[Order_Date]],"mmm")</f>
        <v>Nov</v>
      </c>
      <c r="D236">
        <f>YEAR(Table1[[#This Row],[Order_Date]])</f>
        <v>2025</v>
      </c>
      <c r="E236" t="s">
        <v>111</v>
      </c>
      <c r="F236" t="s">
        <v>169</v>
      </c>
      <c r="G236" t="s">
        <v>116</v>
      </c>
      <c r="H236" t="s">
        <v>720</v>
      </c>
      <c r="I236" t="s">
        <v>59</v>
      </c>
      <c r="J236" t="s">
        <v>51</v>
      </c>
      <c r="K236">
        <v>18</v>
      </c>
      <c r="L236">
        <v>3148</v>
      </c>
      <c r="M236">
        <v>1935</v>
      </c>
      <c r="N236">
        <v>1213</v>
      </c>
      <c r="O236" s="6">
        <f>Table1[[#This Row],[Profit]]/Table1[[#This Row],[Sales_Amount]]</f>
        <v>0.38532401524777637</v>
      </c>
      <c r="P236" t="s">
        <v>52</v>
      </c>
    </row>
    <row r="237" spans="1:16" x14ac:dyDescent="0.35">
      <c r="A237" t="s">
        <v>721</v>
      </c>
      <c r="B237" t="s">
        <v>722</v>
      </c>
      <c r="C237" t="str">
        <f>TEXT(Table1[[#This Row],[Order_Date]],"mmm")</f>
        <v>Jun</v>
      </c>
      <c r="D237">
        <f>YEAR(Table1[[#This Row],[Order_Date]])</f>
        <v>2025</v>
      </c>
      <c r="E237" t="s">
        <v>46</v>
      </c>
      <c r="F237" t="s">
        <v>47</v>
      </c>
      <c r="G237" t="s">
        <v>48</v>
      </c>
      <c r="H237" t="s">
        <v>723</v>
      </c>
      <c r="I237" t="s">
        <v>50</v>
      </c>
      <c r="J237" t="s">
        <v>51</v>
      </c>
      <c r="K237">
        <v>17</v>
      </c>
      <c r="L237">
        <v>66610</v>
      </c>
      <c r="M237">
        <v>49117</v>
      </c>
      <c r="N237">
        <v>17493</v>
      </c>
      <c r="O237" s="6">
        <f>Table1[[#This Row],[Profit]]/Table1[[#This Row],[Sales_Amount]]</f>
        <v>0.26261822549166791</v>
      </c>
      <c r="P237" t="s">
        <v>98</v>
      </c>
    </row>
    <row r="238" spans="1:16" x14ac:dyDescent="0.35">
      <c r="A238" t="s">
        <v>724</v>
      </c>
      <c r="B238" t="s">
        <v>725</v>
      </c>
      <c r="C238" t="str">
        <f>TEXT(Table1[[#This Row],[Order_Date]],"mmm")</f>
        <v>Aug</v>
      </c>
      <c r="D238">
        <f>YEAR(Table1[[#This Row],[Order_Date]])</f>
        <v>2025</v>
      </c>
      <c r="E238" t="s">
        <v>111</v>
      </c>
      <c r="F238" t="s">
        <v>169</v>
      </c>
      <c r="G238" t="s">
        <v>128</v>
      </c>
      <c r="H238" t="s">
        <v>726</v>
      </c>
      <c r="I238" t="s">
        <v>50</v>
      </c>
      <c r="J238" t="s">
        <v>51</v>
      </c>
      <c r="K238">
        <v>24</v>
      </c>
      <c r="L238">
        <v>81212</v>
      </c>
      <c r="M238">
        <v>55472</v>
      </c>
      <c r="N238">
        <v>25740</v>
      </c>
      <c r="O238" s="6">
        <f>Table1[[#This Row],[Profit]]/Table1[[#This Row],[Sales_Amount]]</f>
        <v>0.31694823425109592</v>
      </c>
      <c r="P238" t="s">
        <v>52</v>
      </c>
    </row>
    <row r="239" spans="1:16" x14ac:dyDescent="0.35">
      <c r="A239" t="s">
        <v>727</v>
      </c>
      <c r="B239" t="s">
        <v>728</v>
      </c>
      <c r="C239" t="str">
        <f>TEXT(Table1[[#This Row],[Order_Date]],"mmm")</f>
        <v>Aug</v>
      </c>
      <c r="D239">
        <f>YEAR(Table1[[#This Row],[Order_Date]])</f>
        <v>2025</v>
      </c>
      <c r="E239" t="s">
        <v>55</v>
      </c>
      <c r="F239" t="s">
        <v>56</v>
      </c>
      <c r="G239" t="s">
        <v>70</v>
      </c>
      <c r="H239" t="s">
        <v>729</v>
      </c>
      <c r="I239" t="s">
        <v>67</v>
      </c>
      <c r="J239" t="s">
        <v>51</v>
      </c>
      <c r="K239">
        <v>21</v>
      </c>
      <c r="L239">
        <v>102629</v>
      </c>
      <c r="M239">
        <v>51926</v>
      </c>
      <c r="N239">
        <v>50703</v>
      </c>
      <c r="O239" s="6">
        <f>Table1[[#This Row],[Profit]]/Table1[[#This Row],[Sales_Amount]]</f>
        <v>0.49404164514903193</v>
      </c>
      <c r="P239" t="s">
        <v>121</v>
      </c>
    </row>
    <row r="240" spans="1:16" x14ac:dyDescent="0.35">
      <c r="A240" t="s">
        <v>730</v>
      </c>
      <c r="B240" t="s">
        <v>731</v>
      </c>
      <c r="C240" t="str">
        <f>TEXT(Table1[[#This Row],[Order_Date]],"mmm")</f>
        <v>Aug</v>
      </c>
      <c r="D240">
        <f>YEAR(Table1[[#This Row],[Order_Date]])</f>
        <v>2025</v>
      </c>
      <c r="E240" t="s">
        <v>46</v>
      </c>
      <c r="F240" t="s">
        <v>47</v>
      </c>
      <c r="G240" t="s">
        <v>116</v>
      </c>
      <c r="H240" t="s">
        <v>732</v>
      </c>
      <c r="I240" t="s">
        <v>156</v>
      </c>
      <c r="J240" t="s">
        <v>157</v>
      </c>
      <c r="K240">
        <v>3</v>
      </c>
      <c r="L240">
        <v>81214</v>
      </c>
      <c r="M240">
        <v>57329</v>
      </c>
      <c r="N240">
        <v>23885</v>
      </c>
      <c r="O240" s="6">
        <f>Table1[[#This Row],[Profit]]/Table1[[#This Row],[Sales_Amount]]</f>
        <v>0.29409953948826556</v>
      </c>
      <c r="P240" t="s">
        <v>121</v>
      </c>
    </row>
    <row r="241" spans="1:16" x14ac:dyDescent="0.35">
      <c r="A241" t="s">
        <v>733</v>
      </c>
      <c r="B241" t="s">
        <v>371</v>
      </c>
      <c r="C241" t="str">
        <f>TEXT(Table1[[#This Row],[Order_Date]],"mmm")</f>
        <v>Aug</v>
      </c>
      <c r="D241">
        <f>YEAR(Table1[[#This Row],[Order_Date]])</f>
        <v>2025</v>
      </c>
      <c r="E241" t="s">
        <v>46</v>
      </c>
      <c r="F241" t="s">
        <v>47</v>
      </c>
      <c r="G241" t="s">
        <v>70</v>
      </c>
      <c r="H241" t="s">
        <v>734</v>
      </c>
      <c r="I241" t="s">
        <v>82</v>
      </c>
      <c r="J241" t="s">
        <v>83</v>
      </c>
      <c r="K241">
        <v>17</v>
      </c>
      <c r="L241">
        <v>87218</v>
      </c>
      <c r="M241">
        <v>66235</v>
      </c>
      <c r="N241">
        <v>20983</v>
      </c>
      <c r="O241" s="6">
        <f>Table1[[#This Row],[Profit]]/Table1[[#This Row],[Sales_Amount]]</f>
        <v>0.24058107271434795</v>
      </c>
      <c r="P241" t="s">
        <v>52</v>
      </c>
    </row>
    <row r="242" spans="1:16" x14ac:dyDescent="0.35">
      <c r="A242" t="s">
        <v>735</v>
      </c>
      <c r="B242" t="s">
        <v>736</v>
      </c>
      <c r="C242" t="str">
        <f>TEXT(Table1[[#This Row],[Order_Date]],"mmm")</f>
        <v>Jul</v>
      </c>
      <c r="D242">
        <f>YEAR(Table1[[#This Row],[Order_Date]])</f>
        <v>2025</v>
      </c>
      <c r="E242" t="s">
        <v>46</v>
      </c>
      <c r="F242" t="s">
        <v>74</v>
      </c>
      <c r="G242" t="s">
        <v>128</v>
      </c>
      <c r="H242" t="s">
        <v>737</v>
      </c>
      <c r="I242" t="s">
        <v>143</v>
      </c>
      <c r="J242" t="s">
        <v>51</v>
      </c>
      <c r="K242">
        <v>13</v>
      </c>
      <c r="L242">
        <v>23340</v>
      </c>
      <c r="M242">
        <v>16895</v>
      </c>
      <c r="N242">
        <v>6445</v>
      </c>
      <c r="O242" s="6">
        <f>Table1[[#This Row],[Profit]]/Table1[[#This Row],[Sales_Amount]]</f>
        <v>0.27613538988860326</v>
      </c>
      <c r="P242" t="s">
        <v>60</v>
      </c>
    </row>
    <row r="243" spans="1:16" x14ac:dyDescent="0.35">
      <c r="A243" t="s">
        <v>738</v>
      </c>
      <c r="B243" t="s">
        <v>321</v>
      </c>
      <c r="C243" t="str">
        <f>TEXT(Table1[[#This Row],[Order_Date]],"mmm")</f>
        <v>Dec</v>
      </c>
      <c r="D243">
        <f>YEAR(Table1[[#This Row],[Order_Date]])</f>
        <v>2025</v>
      </c>
      <c r="E243" t="s">
        <v>111</v>
      </c>
      <c r="F243" t="s">
        <v>112</v>
      </c>
      <c r="G243" t="s">
        <v>80</v>
      </c>
      <c r="H243" t="s">
        <v>739</v>
      </c>
      <c r="I243" t="s">
        <v>50</v>
      </c>
      <c r="J243" t="s">
        <v>51</v>
      </c>
      <c r="K243">
        <v>3</v>
      </c>
      <c r="L243">
        <v>56335</v>
      </c>
      <c r="M243">
        <v>45484</v>
      </c>
      <c r="N243">
        <v>10851</v>
      </c>
      <c r="O243" s="6">
        <f>Table1[[#This Row],[Profit]]/Table1[[#This Row],[Sales_Amount]]</f>
        <v>0.19261560308866602</v>
      </c>
      <c r="P243" t="s">
        <v>60</v>
      </c>
    </row>
    <row r="244" spans="1:16" x14ac:dyDescent="0.35">
      <c r="A244" t="s">
        <v>740</v>
      </c>
      <c r="B244" t="s">
        <v>741</v>
      </c>
      <c r="C244" t="str">
        <f>TEXT(Table1[[#This Row],[Order_Date]],"mmm")</f>
        <v>Aug</v>
      </c>
      <c r="D244">
        <f>YEAR(Table1[[#This Row],[Order_Date]])</f>
        <v>2025</v>
      </c>
      <c r="E244" t="s">
        <v>63</v>
      </c>
      <c r="F244" t="s">
        <v>104</v>
      </c>
      <c r="G244" t="s">
        <v>65</v>
      </c>
      <c r="H244" t="s">
        <v>742</v>
      </c>
      <c r="I244" t="s">
        <v>50</v>
      </c>
      <c r="J244" t="s">
        <v>51</v>
      </c>
      <c r="K244">
        <v>14</v>
      </c>
      <c r="L244">
        <v>69755</v>
      </c>
      <c r="M244">
        <v>44495</v>
      </c>
      <c r="N244">
        <v>25260</v>
      </c>
      <c r="O244" s="6">
        <f>Table1[[#This Row],[Profit]]/Table1[[#This Row],[Sales_Amount]]</f>
        <v>0.36212457888323418</v>
      </c>
      <c r="P244" t="s">
        <v>98</v>
      </c>
    </row>
    <row r="245" spans="1:16" x14ac:dyDescent="0.35">
      <c r="A245" t="s">
        <v>743</v>
      </c>
      <c r="B245" t="s">
        <v>366</v>
      </c>
      <c r="C245" t="str">
        <f>TEXT(Table1[[#This Row],[Order_Date]],"mmm")</f>
        <v>May</v>
      </c>
      <c r="D245">
        <f>YEAR(Table1[[#This Row],[Order_Date]])</f>
        <v>2025</v>
      </c>
      <c r="E245" t="s">
        <v>55</v>
      </c>
      <c r="F245" t="s">
        <v>188</v>
      </c>
      <c r="G245" t="s">
        <v>138</v>
      </c>
      <c r="H245" t="s">
        <v>744</v>
      </c>
      <c r="I245" t="s">
        <v>143</v>
      </c>
      <c r="J245" t="s">
        <v>51</v>
      </c>
      <c r="K245">
        <v>24</v>
      </c>
      <c r="L245">
        <v>101384</v>
      </c>
      <c r="M245">
        <v>83116</v>
      </c>
      <c r="N245">
        <v>18268</v>
      </c>
      <c r="O245" s="6">
        <f>Table1[[#This Row],[Profit]]/Table1[[#This Row],[Sales_Amount]]</f>
        <v>0.18018622267813461</v>
      </c>
      <c r="P245" t="s">
        <v>60</v>
      </c>
    </row>
    <row r="246" spans="1:16" x14ac:dyDescent="0.35">
      <c r="A246" t="s">
        <v>745</v>
      </c>
      <c r="B246" t="s">
        <v>746</v>
      </c>
      <c r="C246" t="str">
        <f>TEXT(Table1[[#This Row],[Order_Date]],"mmm")</f>
        <v>Sep</v>
      </c>
      <c r="D246">
        <f>YEAR(Table1[[#This Row],[Order_Date]])</f>
        <v>2025</v>
      </c>
      <c r="E246" t="s">
        <v>63</v>
      </c>
      <c r="F246" t="s">
        <v>64</v>
      </c>
      <c r="G246" t="s">
        <v>116</v>
      </c>
      <c r="H246" t="s">
        <v>747</v>
      </c>
      <c r="I246" t="s">
        <v>87</v>
      </c>
      <c r="J246" t="s">
        <v>88</v>
      </c>
      <c r="K246">
        <v>10</v>
      </c>
      <c r="L246">
        <v>20876</v>
      </c>
      <c r="M246">
        <v>10850</v>
      </c>
      <c r="N246">
        <v>10026</v>
      </c>
      <c r="O246" s="6">
        <f>Table1[[#This Row],[Profit]]/Table1[[#This Row],[Sales_Amount]]</f>
        <v>0.48026441847097145</v>
      </c>
      <c r="P246" t="s">
        <v>52</v>
      </c>
    </row>
    <row r="247" spans="1:16" x14ac:dyDescent="0.35">
      <c r="A247" t="s">
        <v>748</v>
      </c>
      <c r="B247" t="s">
        <v>310</v>
      </c>
      <c r="C247" t="str">
        <f>TEXT(Table1[[#This Row],[Order_Date]],"mmm")</f>
        <v>Apr</v>
      </c>
      <c r="D247">
        <f>YEAR(Table1[[#This Row],[Order_Date]])</f>
        <v>2025</v>
      </c>
      <c r="E247" t="s">
        <v>111</v>
      </c>
      <c r="F247" t="s">
        <v>112</v>
      </c>
      <c r="G247" t="s">
        <v>70</v>
      </c>
      <c r="H247" t="s">
        <v>749</v>
      </c>
      <c r="I247" t="s">
        <v>50</v>
      </c>
      <c r="J247" t="s">
        <v>51</v>
      </c>
      <c r="K247">
        <v>22</v>
      </c>
      <c r="L247">
        <v>114553</v>
      </c>
      <c r="M247">
        <v>96997</v>
      </c>
      <c r="N247">
        <v>17556</v>
      </c>
      <c r="O247" s="6">
        <f>Table1[[#This Row],[Profit]]/Table1[[#This Row],[Sales_Amount]]</f>
        <v>0.15325657119411976</v>
      </c>
      <c r="P247" t="s">
        <v>121</v>
      </c>
    </row>
    <row r="248" spans="1:16" x14ac:dyDescent="0.35">
      <c r="A248" t="s">
        <v>750</v>
      </c>
      <c r="B248" t="s">
        <v>751</v>
      </c>
      <c r="C248" t="str">
        <f>TEXT(Table1[[#This Row],[Order_Date]],"mmm")</f>
        <v>Jan</v>
      </c>
      <c r="D248">
        <f>YEAR(Table1[[#This Row],[Order_Date]])</f>
        <v>2025</v>
      </c>
      <c r="E248" t="s">
        <v>111</v>
      </c>
      <c r="F248" t="s">
        <v>169</v>
      </c>
      <c r="G248" t="s">
        <v>116</v>
      </c>
      <c r="H248" t="s">
        <v>752</v>
      </c>
      <c r="I248" t="s">
        <v>76</v>
      </c>
      <c r="J248" t="s">
        <v>77</v>
      </c>
      <c r="K248">
        <v>7</v>
      </c>
      <c r="L248">
        <v>109306</v>
      </c>
      <c r="M248">
        <v>90165</v>
      </c>
      <c r="N248">
        <v>19141</v>
      </c>
      <c r="O248" s="6">
        <f>Table1[[#This Row],[Profit]]/Table1[[#This Row],[Sales_Amount]]</f>
        <v>0.1751139004263261</v>
      </c>
      <c r="P248" t="s">
        <v>121</v>
      </c>
    </row>
    <row r="249" spans="1:16" x14ac:dyDescent="0.35">
      <c r="A249" t="s">
        <v>753</v>
      </c>
      <c r="B249" t="s">
        <v>523</v>
      </c>
      <c r="C249" t="str">
        <f>TEXT(Table1[[#This Row],[Order_Date]],"mmm")</f>
        <v>Mar</v>
      </c>
      <c r="D249">
        <f>YEAR(Table1[[#This Row],[Order_Date]])</f>
        <v>2025</v>
      </c>
      <c r="E249" t="s">
        <v>63</v>
      </c>
      <c r="F249" t="s">
        <v>64</v>
      </c>
      <c r="G249" t="s">
        <v>48</v>
      </c>
      <c r="H249" t="s">
        <v>754</v>
      </c>
      <c r="I249" t="s">
        <v>82</v>
      </c>
      <c r="J249" t="s">
        <v>83</v>
      </c>
      <c r="K249">
        <v>23</v>
      </c>
      <c r="L249">
        <v>38483</v>
      </c>
      <c r="M249">
        <v>27995</v>
      </c>
      <c r="N249">
        <v>10488</v>
      </c>
      <c r="O249" s="6">
        <f>Table1[[#This Row],[Profit]]/Table1[[#This Row],[Sales_Amount]]</f>
        <v>0.27253592495387574</v>
      </c>
      <c r="P249" t="s">
        <v>121</v>
      </c>
    </row>
    <row r="250" spans="1:16" x14ac:dyDescent="0.35">
      <c r="A250" t="s">
        <v>755</v>
      </c>
      <c r="B250" t="s">
        <v>503</v>
      </c>
      <c r="C250" t="str">
        <f>TEXT(Table1[[#This Row],[Order_Date]],"mmm")</f>
        <v>Dec</v>
      </c>
      <c r="D250">
        <f>YEAR(Table1[[#This Row],[Order_Date]])</f>
        <v>2025</v>
      </c>
      <c r="E250" t="s">
        <v>111</v>
      </c>
      <c r="F250" t="s">
        <v>112</v>
      </c>
      <c r="G250" t="s">
        <v>48</v>
      </c>
      <c r="H250" t="s">
        <v>756</v>
      </c>
      <c r="I250" t="s">
        <v>67</v>
      </c>
      <c r="J250" t="s">
        <v>51</v>
      </c>
      <c r="K250">
        <v>14</v>
      </c>
      <c r="L250">
        <v>99472</v>
      </c>
      <c r="M250">
        <v>78284</v>
      </c>
      <c r="N250">
        <v>21188</v>
      </c>
      <c r="O250" s="6">
        <f>Table1[[#This Row],[Profit]]/Table1[[#This Row],[Sales_Amount]]</f>
        <v>0.21300466462924239</v>
      </c>
      <c r="P250" t="s">
        <v>98</v>
      </c>
    </row>
    <row r="251" spans="1:16" x14ac:dyDescent="0.35">
      <c r="A251" t="s">
        <v>757</v>
      </c>
      <c r="B251" t="s">
        <v>203</v>
      </c>
      <c r="C251" t="str">
        <f>TEXT(Table1[[#This Row],[Order_Date]],"mmm")</f>
        <v>Sep</v>
      </c>
      <c r="D251">
        <f>YEAR(Table1[[#This Row],[Order_Date]])</f>
        <v>2025</v>
      </c>
      <c r="E251" t="s">
        <v>46</v>
      </c>
      <c r="F251" t="s">
        <v>74</v>
      </c>
      <c r="G251" t="s">
        <v>48</v>
      </c>
      <c r="H251" t="s">
        <v>758</v>
      </c>
      <c r="I251" t="s">
        <v>50</v>
      </c>
      <c r="J251" t="s">
        <v>51</v>
      </c>
      <c r="K251">
        <v>16</v>
      </c>
      <c r="L251">
        <v>13524</v>
      </c>
      <c r="M251">
        <v>11369</v>
      </c>
      <c r="N251">
        <v>2155</v>
      </c>
      <c r="O251" s="6">
        <f>Table1[[#This Row],[Profit]]/Table1[[#This Row],[Sales_Amount]]</f>
        <v>0.15934634723454599</v>
      </c>
      <c r="P251" t="s">
        <v>52</v>
      </c>
    </row>
    <row r="252" spans="1:16" x14ac:dyDescent="0.35">
      <c r="A252" t="s">
        <v>759</v>
      </c>
      <c r="B252" t="s">
        <v>333</v>
      </c>
      <c r="C252" t="str">
        <f>TEXT(Table1[[#This Row],[Order_Date]],"mmm")</f>
        <v>Dec</v>
      </c>
      <c r="D252">
        <f>YEAR(Table1[[#This Row],[Order_Date]])</f>
        <v>2025</v>
      </c>
      <c r="E252" t="s">
        <v>111</v>
      </c>
      <c r="F252" t="s">
        <v>169</v>
      </c>
      <c r="G252" t="s">
        <v>70</v>
      </c>
      <c r="H252" t="s">
        <v>760</v>
      </c>
      <c r="I252" t="s">
        <v>125</v>
      </c>
      <c r="J252" t="s">
        <v>83</v>
      </c>
      <c r="K252">
        <v>23</v>
      </c>
      <c r="L252">
        <v>37065</v>
      </c>
      <c r="M252">
        <v>18952</v>
      </c>
      <c r="N252">
        <v>18113</v>
      </c>
      <c r="O252" s="6">
        <f>Table1[[#This Row],[Profit]]/Table1[[#This Row],[Sales_Amount]]</f>
        <v>0.48868204505598273</v>
      </c>
      <c r="P252" t="s">
        <v>60</v>
      </c>
    </row>
    <row r="253" spans="1:16" x14ac:dyDescent="0.35">
      <c r="A253" t="s">
        <v>761</v>
      </c>
      <c r="B253" t="s">
        <v>238</v>
      </c>
      <c r="C253" t="str">
        <f>TEXT(Table1[[#This Row],[Order_Date]],"mmm")</f>
        <v>Sep</v>
      </c>
      <c r="D253">
        <f>YEAR(Table1[[#This Row],[Order_Date]])</f>
        <v>2025</v>
      </c>
      <c r="E253" t="s">
        <v>55</v>
      </c>
      <c r="F253" t="s">
        <v>188</v>
      </c>
      <c r="G253" t="s">
        <v>128</v>
      </c>
      <c r="H253" t="s">
        <v>762</v>
      </c>
      <c r="I253" t="s">
        <v>59</v>
      </c>
      <c r="J253" t="s">
        <v>51</v>
      </c>
      <c r="K253">
        <v>1</v>
      </c>
      <c r="L253">
        <v>116928</v>
      </c>
      <c r="M253">
        <v>97186</v>
      </c>
      <c r="N253">
        <v>19742</v>
      </c>
      <c r="O253" s="6">
        <f>Table1[[#This Row],[Profit]]/Table1[[#This Row],[Sales_Amount]]</f>
        <v>0.16883894362342639</v>
      </c>
      <c r="P253" t="s">
        <v>121</v>
      </c>
    </row>
    <row r="254" spans="1:16" x14ac:dyDescent="0.35">
      <c r="A254" t="s">
        <v>763</v>
      </c>
      <c r="B254" t="s">
        <v>764</v>
      </c>
      <c r="C254" t="str">
        <f>TEXT(Table1[[#This Row],[Order_Date]],"mmm")</f>
        <v>Aug</v>
      </c>
      <c r="D254">
        <f>YEAR(Table1[[#This Row],[Order_Date]])</f>
        <v>2025</v>
      </c>
      <c r="E254" t="s">
        <v>63</v>
      </c>
      <c r="F254" t="s">
        <v>104</v>
      </c>
      <c r="G254" t="s">
        <v>80</v>
      </c>
      <c r="H254" t="s">
        <v>765</v>
      </c>
      <c r="I254" t="s">
        <v>67</v>
      </c>
      <c r="J254" t="s">
        <v>51</v>
      </c>
      <c r="K254">
        <v>9</v>
      </c>
      <c r="L254">
        <v>33197</v>
      </c>
      <c r="M254">
        <v>26634</v>
      </c>
      <c r="N254">
        <v>6563</v>
      </c>
      <c r="O254" s="6">
        <f>Table1[[#This Row],[Profit]]/Table1[[#This Row],[Sales_Amount]]</f>
        <v>0.19769858722173692</v>
      </c>
      <c r="P254" t="s">
        <v>98</v>
      </c>
    </row>
    <row r="255" spans="1:16" x14ac:dyDescent="0.35">
      <c r="A255" t="s">
        <v>766</v>
      </c>
      <c r="B255" t="s">
        <v>85</v>
      </c>
      <c r="C255" t="str">
        <f>TEXT(Table1[[#This Row],[Order_Date]],"mmm")</f>
        <v>Feb</v>
      </c>
      <c r="D255">
        <f>YEAR(Table1[[#This Row],[Order_Date]])</f>
        <v>2025</v>
      </c>
      <c r="E255" t="s">
        <v>111</v>
      </c>
      <c r="F255" t="s">
        <v>112</v>
      </c>
      <c r="G255" t="s">
        <v>48</v>
      </c>
      <c r="H255" t="s">
        <v>767</v>
      </c>
      <c r="I255" t="s">
        <v>156</v>
      </c>
      <c r="J255" t="s">
        <v>157</v>
      </c>
      <c r="K255">
        <v>16</v>
      </c>
      <c r="L255">
        <v>113509</v>
      </c>
      <c r="M255">
        <v>79470</v>
      </c>
      <c r="N255">
        <v>34039</v>
      </c>
      <c r="O255" s="6">
        <f>Table1[[#This Row],[Profit]]/Table1[[#This Row],[Sales_Amount]]</f>
        <v>0.29987930472473551</v>
      </c>
      <c r="P255" t="s">
        <v>52</v>
      </c>
    </row>
    <row r="256" spans="1:16" x14ac:dyDescent="0.35">
      <c r="A256" t="s">
        <v>768</v>
      </c>
      <c r="B256" t="s">
        <v>769</v>
      </c>
      <c r="C256" t="str">
        <f>TEXT(Table1[[#This Row],[Order_Date]],"mmm")</f>
        <v>Feb</v>
      </c>
      <c r="D256">
        <f>YEAR(Table1[[#This Row],[Order_Date]])</f>
        <v>2025</v>
      </c>
      <c r="E256" t="s">
        <v>63</v>
      </c>
      <c r="F256" t="s">
        <v>64</v>
      </c>
      <c r="G256" t="s">
        <v>128</v>
      </c>
      <c r="H256" t="s">
        <v>770</v>
      </c>
      <c r="I256" t="s">
        <v>82</v>
      </c>
      <c r="J256" t="s">
        <v>83</v>
      </c>
      <c r="K256">
        <v>21</v>
      </c>
      <c r="L256">
        <v>28832</v>
      </c>
      <c r="M256">
        <v>19836</v>
      </c>
      <c r="N256">
        <v>8996</v>
      </c>
      <c r="O256" s="6">
        <f>Table1[[#This Row],[Profit]]/Table1[[#This Row],[Sales_Amount]]</f>
        <v>0.31201442841287458</v>
      </c>
      <c r="P256" t="s">
        <v>121</v>
      </c>
    </row>
    <row r="257" spans="1:16" x14ac:dyDescent="0.35">
      <c r="A257" t="s">
        <v>771</v>
      </c>
      <c r="B257" t="s">
        <v>772</v>
      </c>
      <c r="C257" t="str">
        <f>TEXT(Table1[[#This Row],[Order_Date]],"mmm")</f>
        <v>Jun</v>
      </c>
      <c r="D257">
        <f>YEAR(Table1[[#This Row],[Order_Date]])</f>
        <v>2025</v>
      </c>
      <c r="E257" t="s">
        <v>111</v>
      </c>
      <c r="F257" t="s">
        <v>112</v>
      </c>
      <c r="G257" t="s">
        <v>57</v>
      </c>
      <c r="H257" t="s">
        <v>773</v>
      </c>
      <c r="I257" t="s">
        <v>82</v>
      </c>
      <c r="J257" t="s">
        <v>83</v>
      </c>
      <c r="K257">
        <v>10</v>
      </c>
      <c r="L257">
        <v>91791</v>
      </c>
      <c r="M257">
        <v>47188</v>
      </c>
      <c r="N257">
        <v>44603</v>
      </c>
      <c r="O257" s="6">
        <f>Table1[[#This Row],[Profit]]/Table1[[#This Row],[Sales_Amount]]</f>
        <v>0.48591909882232465</v>
      </c>
      <c r="P257" t="s">
        <v>60</v>
      </c>
    </row>
    <row r="258" spans="1:16" x14ac:dyDescent="0.35">
      <c r="A258" t="s">
        <v>774</v>
      </c>
      <c r="B258" t="s">
        <v>371</v>
      </c>
      <c r="C258" t="str">
        <f>TEXT(Table1[[#This Row],[Order_Date]],"mmm")</f>
        <v>Aug</v>
      </c>
      <c r="D258">
        <f>YEAR(Table1[[#This Row],[Order_Date]])</f>
        <v>2025</v>
      </c>
      <c r="E258" t="s">
        <v>55</v>
      </c>
      <c r="F258" t="s">
        <v>56</v>
      </c>
      <c r="G258" t="s">
        <v>116</v>
      </c>
      <c r="H258" t="s">
        <v>775</v>
      </c>
      <c r="I258" t="s">
        <v>67</v>
      </c>
      <c r="J258" t="s">
        <v>51</v>
      </c>
      <c r="K258">
        <v>20</v>
      </c>
      <c r="L258">
        <v>22514</v>
      </c>
      <c r="M258">
        <v>15407</v>
      </c>
      <c r="N258">
        <v>7107</v>
      </c>
      <c r="O258" s="6">
        <f>Table1[[#This Row],[Profit]]/Table1[[#This Row],[Sales_Amount]]</f>
        <v>0.31567024962245716</v>
      </c>
      <c r="P258" t="s">
        <v>60</v>
      </c>
    </row>
    <row r="259" spans="1:16" x14ac:dyDescent="0.35">
      <c r="A259" t="s">
        <v>776</v>
      </c>
      <c r="B259" t="s">
        <v>652</v>
      </c>
      <c r="C259" t="str">
        <f>TEXT(Table1[[#This Row],[Order_Date]],"mmm")</f>
        <v>Jul</v>
      </c>
      <c r="D259">
        <f>YEAR(Table1[[#This Row],[Order_Date]])</f>
        <v>2025</v>
      </c>
      <c r="E259" t="s">
        <v>63</v>
      </c>
      <c r="F259" t="s">
        <v>64</v>
      </c>
      <c r="G259" t="s">
        <v>70</v>
      </c>
      <c r="H259" t="s">
        <v>777</v>
      </c>
      <c r="I259" t="s">
        <v>76</v>
      </c>
      <c r="J259" t="s">
        <v>77</v>
      </c>
      <c r="K259">
        <v>22</v>
      </c>
      <c r="L259">
        <v>88636</v>
      </c>
      <c r="M259">
        <v>65045</v>
      </c>
      <c r="N259">
        <v>23591</v>
      </c>
      <c r="O259" s="6">
        <f>Table1[[#This Row],[Profit]]/Table1[[#This Row],[Sales_Amount]]</f>
        <v>0.26615596371677425</v>
      </c>
      <c r="P259" t="s">
        <v>52</v>
      </c>
    </row>
    <row r="260" spans="1:16" x14ac:dyDescent="0.35">
      <c r="A260" t="s">
        <v>778</v>
      </c>
      <c r="B260" t="s">
        <v>515</v>
      </c>
      <c r="C260" t="str">
        <f>TEXT(Table1[[#This Row],[Order_Date]],"mmm")</f>
        <v>Nov</v>
      </c>
      <c r="D260">
        <f>YEAR(Table1[[#This Row],[Order_Date]])</f>
        <v>2025</v>
      </c>
      <c r="E260" t="s">
        <v>46</v>
      </c>
      <c r="F260" t="s">
        <v>74</v>
      </c>
      <c r="G260" t="s">
        <v>116</v>
      </c>
      <c r="H260" t="s">
        <v>779</v>
      </c>
      <c r="I260" t="s">
        <v>125</v>
      </c>
      <c r="J260" t="s">
        <v>83</v>
      </c>
      <c r="K260">
        <v>17</v>
      </c>
      <c r="L260">
        <v>66765</v>
      </c>
      <c r="M260">
        <v>43410</v>
      </c>
      <c r="N260">
        <v>23355</v>
      </c>
      <c r="O260" s="6">
        <f>Table1[[#This Row],[Profit]]/Table1[[#This Row],[Sales_Amount]]</f>
        <v>0.34980903167827454</v>
      </c>
      <c r="P260" t="s">
        <v>52</v>
      </c>
    </row>
    <row r="261" spans="1:16" x14ac:dyDescent="0.35">
      <c r="A261" t="s">
        <v>780</v>
      </c>
      <c r="B261" t="s">
        <v>85</v>
      </c>
      <c r="C261" t="str">
        <f>TEXT(Table1[[#This Row],[Order_Date]],"mmm")</f>
        <v>Feb</v>
      </c>
      <c r="D261">
        <f>YEAR(Table1[[#This Row],[Order_Date]])</f>
        <v>2025</v>
      </c>
      <c r="E261" t="s">
        <v>111</v>
      </c>
      <c r="F261" t="s">
        <v>112</v>
      </c>
      <c r="G261" t="s">
        <v>65</v>
      </c>
      <c r="H261" t="s">
        <v>781</v>
      </c>
      <c r="I261" t="s">
        <v>82</v>
      </c>
      <c r="J261" t="s">
        <v>83</v>
      </c>
      <c r="K261">
        <v>24</v>
      </c>
      <c r="L261">
        <v>26394</v>
      </c>
      <c r="M261">
        <v>19701</v>
      </c>
      <c r="N261">
        <v>6693</v>
      </c>
      <c r="O261" s="6">
        <f>Table1[[#This Row],[Profit]]/Table1[[#This Row],[Sales_Amount]]</f>
        <v>0.25358035917253924</v>
      </c>
      <c r="P261" t="s">
        <v>52</v>
      </c>
    </row>
    <row r="262" spans="1:16" x14ac:dyDescent="0.35">
      <c r="A262" t="s">
        <v>782</v>
      </c>
      <c r="B262" t="s">
        <v>454</v>
      </c>
      <c r="C262" t="str">
        <f>TEXT(Table1[[#This Row],[Order_Date]],"mmm")</f>
        <v>May</v>
      </c>
      <c r="D262">
        <f>YEAR(Table1[[#This Row],[Order_Date]])</f>
        <v>2025</v>
      </c>
      <c r="E262" t="s">
        <v>63</v>
      </c>
      <c r="F262" t="s">
        <v>64</v>
      </c>
      <c r="G262" t="s">
        <v>80</v>
      </c>
      <c r="H262" t="s">
        <v>783</v>
      </c>
      <c r="I262" t="s">
        <v>76</v>
      </c>
      <c r="J262" t="s">
        <v>77</v>
      </c>
      <c r="K262">
        <v>20</v>
      </c>
      <c r="L262">
        <v>77937</v>
      </c>
      <c r="M262">
        <v>64320</v>
      </c>
      <c r="N262">
        <v>13617</v>
      </c>
      <c r="O262" s="6">
        <f>Table1[[#This Row],[Profit]]/Table1[[#This Row],[Sales_Amount]]</f>
        <v>0.17471804149505371</v>
      </c>
      <c r="P262" t="s">
        <v>98</v>
      </c>
    </row>
    <row r="263" spans="1:16" x14ac:dyDescent="0.35">
      <c r="A263" t="s">
        <v>784</v>
      </c>
      <c r="B263" t="s">
        <v>785</v>
      </c>
      <c r="C263" t="str">
        <f>TEXT(Table1[[#This Row],[Order_Date]],"mmm")</f>
        <v>Nov</v>
      </c>
      <c r="D263">
        <f>YEAR(Table1[[#This Row],[Order_Date]])</f>
        <v>2025</v>
      </c>
      <c r="E263" t="s">
        <v>55</v>
      </c>
      <c r="F263" t="s">
        <v>56</v>
      </c>
      <c r="G263" t="s">
        <v>65</v>
      </c>
      <c r="H263" t="s">
        <v>786</v>
      </c>
      <c r="I263" t="s">
        <v>87</v>
      </c>
      <c r="J263" t="s">
        <v>88</v>
      </c>
      <c r="K263">
        <v>8</v>
      </c>
      <c r="L263">
        <v>61623</v>
      </c>
      <c r="M263">
        <v>40228</v>
      </c>
      <c r="N263">
        <v>21395</v>
      </c>
      <c r="O263" s="6">
        <f>Table1[[#This Row],[Profit]]/Table1[[#This Row],[Sales_Amount]]</f>
        <v>0.34719179527124611</v>
      </c>
      <c r="P263" t="s">
        <v>52</v>
      </c>
    </row>
    <row r="264" spans="1:16" x14ac:dyDescent="0.35">
      <c r="A264" t="s">
        <v>787</v>
      </c>
      <c r="B264" t="s">
        <v>728</v>
      </c>
      <c r="C264" t="str">
        <f>TEXT(Table1[[#This Row],[Order_Date]],"mmm")</f>
        <v>Aug</v>
      </c>
      <c r="D264">
        <f>YEAR(Table1[[#This Row],[Order_Date]])</f>
        <v>2025</v>
      </c>
      <c r="E264" t="s">
        <v>55</v>
      </c>
      <c r="F264" t="s">
        <v>188</v>
      </c>
      <c r="G264" t="s">
        <v>138</v>
      </c>
      <c r="H264" t="s">
        <v>788</v>
      </c>
      <c r="I264" t="s">
        <v>76</v>
      </c>
      <c r="J264" t="s">
        <v>77</v>
      </c>
      <c r="K264">
        <v>7</v>
      </c>
      <c r="L264">
        <v>36374</v>
      </c>
      <c r="M264">
        <v>20857</v>
      </c>
      <c r="N264">
        <v>15517</v>
      </c>
      <c r="O264" s="6">
        <f>Table1[[#This Row],[Profit]]/Table1[[#This Row],[Sales_Amount]]</f>
        <v>0.42659592016275361</v>
      </c>
      <c r="P264" t="s">
        <v>52</v>
      </c>
    </row>
    <row r="265" spans="1:16" x14ac:dyDescent="0.35">
      <c r="A265" t="s">
        <v>789</v>
      </c>
      <c r="B265" t="s">
        <v>790</v>
      </c>
      <c r="C265" t="str">
        <f>TEXT(Table1[[#This Row],[Order_Date]],"mmm")</f>
        <v>Mar</v>
      </c>
      <c r="D265">
        <f>YEAR(Table1[[#This Row],[Order_Date]])</f>
        <v>2025</v>
      </c>
      <c r="E265" t="s">
        <v>111</v>
      </c>
      <c r="F265" t="s">
        <v>112</v>
      </c>
      <c r="G265" t="s">
        <v>57</v>
      </c>
      <c r="H265" t="s">
        <v>791</v>
      </c>
      <c r="I265" t="s">
        <v>82</v>
      </c>
      <c r="J265" t="s">
        <v>83</v>
      </c>
      <c r="K265">
        <v>3</v>
      </c>
      <c r="L265">
        <v>17413</v>
      </c>
      <c r="M265">
        <v>12690</v>
      </c>
      <c r="N265">
        <v>4723</v>
      </c>
      <c r="O265" s="6">
        <f>Table1[[#This Row],[Profit]]/Table1[[#This Row],[Sales_Amount]]</f>
        <v>0.27123413541606844</v>
      </c>
      <c r="P265" t="s">
        <v>121</v>
      </c>
    </row>
    <row r="266" spans="1:16" x14ac:dyDescent="0.35">
      <c r="A266" t="s">
        <v>792</v>
      </c>
      <c r="B266" t="s">
        <v>793</v>
      </c>
      <c r="C266" t="str">
        <f>TEXT(Table1[[#This Row],[Order_Date]],"mmm")</f>
        <v>Feb</v>
      </c>
      <c r="D266">
        <f>YEAR(Table1[[#This Row],[Order_Date]])</f>
        <v>2025</v>
      </c>
      <c r="E266" t="s">
        <v>55</v>
      </c>
      <c r="F266" t="s">
        <v>56</v>
      </c>
      <c r="G266" t="s">
        <v>138</v>
      </c>
      <c r="H266" t="s">
        <v>794</v>
      </c>
      <c r="I266" t="s">
        <v>82</v>
      </c>
      <c r="J266" t="s">
        <v>83</v>
      </c>
      <c r="K266">
        <v>1</v>
      </c>
      <c r="L266">
        <v>74809</v>
      </c>
      <c r="M266">
        <v>51237</v>
      </c>
      <c r="N266">
        <v>23572</v>
      </c>
      <c r="O266" s="6">
        <f>Table1[[#This Row],[Profit]]/Table1[[#This Row],[Sales_Amount]]</f>
        <v>0.31509577724605325</v>
      </c>
      <c r="P266" t="s">
        <v>60</v>
      </c>
    </row>
    <row r="267" spans="1:16" x14ac:dyDescent="0.35">
      <c r="A267" t="s">
        <v>795</v>
      </c>
      <c r="B267" t="s">
        <v>796</v>
      </c>
      <c r="C267" t="str">
        <f>TEXT(Table1[[#This Row],[Order_Date]],"mmm")</f>
        <v>Sep</v>
      </c>
      <c r="D267">
        <f>YEAR(Table1[[#This Row],[Order_Date]])</f>
        <v>2025</v>
      </c>
      <c r="E267" t="s">
        <v>55</v>
      </c>
      <c r="F267" t="s">
        <v>188</v>
      </c>
      <c r="G267" t="s">
        <v>70</v>
      </c>
      <c r="H267" t="s">
        <v>797</v>
      </c>
      <c r="I267" t="s">
        <v>59</v>
      </c>
      <c r="J267" t="s">
        <v>51</v>
      </c>
      <c r="K267">
        <v>10</v>
      </c>
      <c r="L267">
        <v>66994</v>
      </c>
      <c r="M267">
        <v>39477</v>
      </c>
      <c r="N267">
        <v>27517</v>
      </c>
      <c r="O267" s="6">
        <f>Table1[[#This Row],[Profit]]/Table1[[#This Row],[Sales_Amount]]</f>
        <v>0.41073827506940919</v>
      </c>
      <c r="P267" t="s">
        <v>121</v>
      </c>
    </row>
    <row r="268" spans="1:16" x14ac:dyDescent="0.35">
      <c r="A268" t="s">
        <v>798</v>
      </c>
      <c r="B268" t="s">
        <v>388</v>
      </c>
      <c r="C268" t="str">
        <f>TEXT(Table1[[#This Row],[Order_Date]],"mmm")</f>
        <v>Jun</v>
      </c>
      <c r="D268">
        <f>YEAR(Table1[[#This Row],[Order_Date]])</f>
        <v>2025</v>
      </c>
      <c r="E268" t="s">
        <v>55</v>
      </c>
      <c r="F268" t="s">
        <v>56</v>
      </c>
      <c r="G268" t="s">
        <v>80</v>
      </c>
      <c r="H268" t="s">
        <v>799</v>
      </c>
      <c r="I268" t="s">
        <v>156</v>
      </c>
      <c r="J268" t="s">
        <v>157</v>
      </c>
      <c r="K268">
        <v>14</v>
      </c>
      <c r="L268">
        <v>7084</v>
      </c>
      <c r="M268">
        <v>3381</v>
      </c>
      <c r="N268">
        <v>3703</v>
      </c>
      <c r="O268" s="6">
        <f>Table1[[#This Row],[Profit]]/Table1[[#This Row],[Sales_Amount]]</f>
        <v>0.52272727272727271</v>
      </c>
      <c r="P268" t="s">
        <v>60</v>
      </c>
    </row>
    <row r="269" spans="1:16" x14ac:dyDescent="0.35">
      <c r="A269" t="s">
        <v>800</v>
      </c>
      <c r="B269" t="s">
        <v>191</v>
      </c>
      <c r="C269" t="str">
        <f>TEXT(Table1[[#This Row],[Order_Date]],"mmm")</f>
        <v>Oct</v>
      </c>
      <c r="D269">
        <f>YEAR(Table1[[#This Row],[Order_Date]])</f>
        <v>2025</v>
      </c>
      <c r="E269" t="s">
        <v>111</v>
      </c>
      <c r="F269" t="s">
        <v>112</v>
      </c>
      <c r="G269" t="s">
        <v>48</v>
      </c>
      <c r="H269" t="s">
        <v>801</v>
      </c>
      <c r="I269" t="s">
        <v>82</v>
      </c>
      <c r="J269" t="s">
        <v>83</v>
      </c>
      <c r="K269">
        <v>5</v>
      </c>
      <c r="L269">
        <v>104601</v>
      </c>
      <c r="M269">
        <v>77021</v>
      </c>
      <c r="N269">
        <v>27580</v>
      </c>
      <c r="O269" s="6">
        <f>Table1[[#This Row],[Profit]]/Table1[[#This Row],[Sales_Amount]]</f>
        <v>0.2636686073746905</v>
      </c>
      <c r="P269" t="s">
        <v>121</v>
      </c>
    </row>
    <row r="270" spans="1:16" x14ac:dyDescent="0.35">
      <c r="A270" t="s">
        <v>802</v>
      </c>
      <c r="B270" t="s">
        <v>313</v>
      </c>
      <c r="C270" t="str">
        <f>TEXT(Table1[[#This Row],[Order_Date]],"mmm")</f>
        <v>Mar</v>
      </c>
      <c r="D270">
        <f>YEAR(Table1[[#This Row],[Order_Date]])</f>
        <v>2025</v>
      </c>
      <c r="E270" t="s">
        <v>55</v>
      </c>
      <c r="F270" t="s">
        <v>188</v>
      </c>
      <c r="G270" t="s">
        <v>116</v>
      </c>
      <c r="H270" t="s">
        <v>803</v>
      </c>
      <c r="I270" t="s">
        <v>143</v>
      </c>
      <c r="J270" t="s">
        <v>51</v>
      </c>
      <c r="K270">
        <v>8</v>
      </c>
      <c r="L270">
        <v>91796</v>
      </c>
      <c r="M270">
        <v>72163</v>
      </c>
      <c r="N270">
        <v>19633</v>
      </c>
      <c r="O270" s="6">
        <f>Table1[[#This Row],[Profit]]/Table1[[#This Row],[Sales_Amount]]</f>
        <v>0.21387642163057213</v>
      </c>
      <c r="P270" t="s">
        <v>52</v>
      </c>
    </row>
    <row r="271" spans="1:16" x14ac:dyDescent="0.35">
      <c r="A271" t="s">
        <v>804</v>
      </c>
      <c r="B271" t="s">
        <v>137</v>
      </c>
      <c r="C271" t="str">
        <f>TEXT(Table1[[#This Row],[Order_Date]],"mmm")</f>
        <v>Jul</v>
      </c>
      <c r="D271">
        <f>YEAR(Table1[[#This Row],[Order_Date]])</f>
        <v>2025</v>
      </c>
      <c r="E271" t="s">
        <v>46</v>
      </c>
      <c r="F271" t="s">
        <v>47</v>
      </c>
      <c r="G271" t="s">
        <v>65</v>
      </c>
      <c r="H271" t="s">
        <v>805</v>
      </c>
      <c r="I271" t="s">
        <v>50</v>
      </c>
      <c r="J271" t="s">
        <v>51</v>
      </c>
      <c r="K271">
        <v>22</v>
      </c>
      <c r="L271">
        <v>70972</v>
      </c>
      <c r="M271">
        <v>39617</v>
      </c>
      <c r="N271">
        <v>31355</v>
      </c>
      <c r="O271" s="6">
        <f>Table1[[#This Row],[Profit]]/Table1[[#This Row],[Sales_Amount]]</f>
        <v>0.44179394690864005</v>
      </c>
      <c r="P271" t="s">
        <v>98</v>
      </c>
    </row>
    <row r="272" spans="1:16" x14ac:dyDescent="0.35">
      <c r="A272" t="s">
        <v>806</v>
      </c>
      <c r="B272" t="s">
        <v>103</v>
      </c>
      <c r="C272" t="str">
        <f>TEXT(Table1[[#This Row],[Order_Date]],"mmm")</f>
        <v>Jan</v>
      </c>
      <c r="D272">
        <f>YEAR(Table1[[#This Row],[Order_Date]])</f>
        <v>2025</v>
      </c>
      <c r="E272" t="s">
        <v>63</v>
      </c>
      <c r="F272" t="s">
        <v>64</v>
      </c>
      <c r="G272" t="s">
        <v>138</v>
      </c>
      <c r="H272" t="s">
        <v>807</v>
      </c>
      <c r="I272" t="s">
        <v>50</v>
      </c>
      <c r="J272" t="s">
        <v>51</v>
      </c>
      <c r="K272">
        <v>17</v>
      </c>
      <c r="L272">
        <v>57065</v>
      </c>
      <c r="M272">
        <v>46165</v>
      </c>
      <c r="N272">
        <v>10900</v>
      </c>
      <c r="O272" s="6">
        <f>Table1[[#This Row],[Profit]]/Table1[[#This Row],[Sales_Amount]]</f>
        <v>0.19101025146762463</v>
      </c>
      <c r="P272" t="s">
        <v>98</v>
      </c>
    </row>
    <row r="273" spans="1:16" x14ac:dyDescent="0.35">
      <c r="A273" t="s">
        <v>808</v>
      </c>
      <c r="B273" t="s">
        <v>431</v>
      </c>
      <c r="C273" t="str">
        <f>TEXT(Table1[[#This Row],[Order_Date]],"mmm")</f>
        <v>Jun</v>
      </c>
      <c r="D273">
        <f>YEAR(Table1[[#This Row],[Order_Date]])</f>
        <v>2025</v>
      </c>
      <c r="E273" t="s">
        <v>111</v>
      </c>
      <c r="F273" t="s">
        <v>169</v>
      </c>
      <c r="G273" t="s">
        <v>48</v>
      </c>
      <c r="H273" t="s">
        <v>809</v>
      </c>
      <c r="I273" t="s">
        <v>125</v>
      </c>
      <c r="J273" t="s">
        <v>83</v>
      </c>
      <c r="K273">
        <v>20</v>
      </c>
      <c r="L273">
        <v>45395</v>
      </c>
      <c r="M273">
        <v>33379</v>
      </c>
      <c r="N273">
        <v>12016</v>
      </c>
      <c r="O273" s="6">
        <f>Table1[[#This Row],[Profit]]/Table1[[#This Row],[Sales_Amount]]</f>
        <v>0.26469875536953408</v>
      </c>
      <c r="P273" t="s">
        <v>121</v>
      </c>
    </row>
    <row r="274" spans="1:16" x14ac:dyDescent="0.35">
      <c r="A274" t="s">
        <v>810</v>
      </c>
      <c r="B274" t="s">
        <v>681</v>
      </c>
      <c r="C274" t="str">
        <f>TEXT(Table1[[#This Row],[Order_Date]],"mmm")</f>
        <v>May</v>
      </c>
      <c r="D274">
        <f>YEAR(Table1[[#This Row],[Order_Date]])</f>
        <v>2025</v>
      </c>
      <c r="E274" t="s">
        <v>55</v>
      </c>
      <c r="F274" t="s">
        <v>56</v>
      </c>
      <c r="G274" t="s">
        <v>128</v>
      </c>
      <c r="H274" t="s">
        <v>811</v>
      </c>
      <c r="I274" t="s">
        <v>76</v>
      </c>
      <c r="J274" t="s">
        <v>77</v>
      </c>
      <c r="K274">
        <v>15</v>
      </c>
      <c r="L274">
        <v>17265</v>
      </c>
      <c r="M274">
        <v>9053</v>
      </c>
      <c r="N274">
        <v>8212</v>
      </c>
      <c r="O274" s="6">
        <f>Table1[[#This Row],[Profit]]/Table1[[#This Row],[Sales_Amount]]</f>
        <v>0.47564436721691283</v>
      </c>
      <c r="P274" t="s">
        <v>52</v>
      </c>
    </row>
    <row r="275" spans="1:16" x14ac:dyDescent="0.35">
      <c r="A275" t="s">
        <v>812</v>
      </c>
      <c r="B275" t="s">
        <v>690</v>
      </c>
      <c r="C275" t="str">
        <f>TEXT(Table1[[#This Row],[Order_Date]],"mmm")</f>
        <v>Jul</v>
      </c>
      <c r="D275">
        <f>YEAR(Table1[[#This Row],[Order_Date]])</f>
        <v>2025</v>
      </c>
      <c r="E275" t="s">
        <v>46</v>
      </c>
      <c r="F275" t="s">
        <v>47</v>
      </c>
      <c r="G275" t="s">
        <v>116</v>
      </c>
      <c r="H275" t="s">
        <v>813</v>
      </c>
      <c r="I275" t="s">
        <v>125</v>
      </c>
      <c r="J275" t="s">
        <v>83</v>
      </c>
      <c r="K275">
        <v>23</v>
      </c>
      <c r="L275">
        <v>87019</v>
      </c>
      <c r="M275">
        <v>62967</v>
      </c>
      <c r="N275">
        <v>24052</v>
      </c>
      <c r="O275" s="6">
        <f>Table1[[#This Row],[Profit]]/Table1[[#This Row],[Sales_Amount]]</f>
        <v>0.27639940702605176</v>
      </c>
      <c r="P275" t="s">
        <v>60</v>
      </c>
    </row>
    <row r="276" spans="1:16" x14ac:dyDescent="0.35">
      <c r="A276" t="s">
        <v>814</v>
      </c>
      <c r="B276" t="s">
        <v>815</v>
      </c>
      <c r="C276" t="str">
        <f>TEXT(Table1[[#This Row],[Order_Date]],"mmm")</f>
        <v>Nov</v>
      </c>
      <c r="D276">
        <f>YEAR(Table1[[#This Row],[Order_Date]])</f>
        <v>2025</v>
      </c>
      <c r="E276" t="s">
        <v>46</v>
      </c>
      <c r="F276" t="s">
        <v>74</v>
      </c>
      <c r="G276" t="s">
        <v>65</v>
      </c>
      <c r="H276" t="s">
        <v>816</v>
      </c>
      <c r="I276" t="s">
        <v>125</v>
      </c>
      <c r="J276" t="s">
        <v>83</v>
      </c>
      <c r="K276">
        <v>22</v>
      </c>
      <c r="L276">
        <v>32681</v>
      </c>
      <c r="M276">
        <v>23182</v>
      </c>
      <c r="N276">
        <v>9499</v>
      </c>
      <c r="O276" s="6">
        <f>Table1[[#This Row],[Profit]]/Table1[[#This Row],[Sales_Amount]]</f>
        <v>0.29065818059422904</v>
      </c>
      <c r="P276" t="s">
        <v>52</v>
      </c>
    </row>
    <row r="277" spans="1:16" x14ac:dyDescent="0.35">
      <c r="A277" t="s">
        <v>817</v>
      </c>
      <c r="B277" t="s">
        <v>404</v>
      </c>
      <c r="C277" t="str">
        <f>TEXT(Table1[[#This Row],[Order_Date]],"mmm")</f>
        <v>Aug</v>
      </c>
      <c r="D277">
        <f>YEAR(Table1[[#This Row],[Order_Date]])</f>
        <v>2025</v>
      </c>
      <c r="E277" t="s">
        <v>63</v>
      </c>
      <c r="F277" t="s">
        <v>104</v>
      </c>
      <c r="G277" t="s">
        <v>48</v>
      </c>
      <c r="H277" t="s">
        <v>818</v>
      </c>
      <c r="I277" t="s">
        <v>59</v>
      </c>
      <c r="J277" t="s">
        <v>51</v>
      </c>
      <c r="K277">
        <v>18</v>
      </c>
      <c r="L277">
        <v>79735</v>
      </c>
      <c r="M277">
        <v>64127</v>
      </c>
      <c r="N277">
        <v>15608</v>
      </c>
      <c r="O277" s="6">
        <f>Table1[[#This Row],[Profit]]/Table1[[#This Row],[Sales_Amount]]</f>
        <v>0.19574841663008716</v>
      </c>
      <c r="P277" t="s">
        <v>98</v>
      </c>
    </row>
    <row r="278" spans="1:16" x14ac:dyDescent="0.35">
      <c r="A278" t="s">
        <v>819</v>
      </c>
      <c r="B278" t="s">
        <v>241</v>
      </c>
      <c r="C278" t="str">
        <f>TEXT(Table1[[#This Row],[Order_Date]],"mmm")</f>
        <v>May</v>
      </c>
      <c r="D278">
        <f>YEAR(Table1[[#This Row],[Order_Date]])</f>
        <v>2025</v>
      </c>
      <c r="E278" t="s">
        <v>111</v>
      </c>
      <c r="F278" t="s">
        <v>112</v>
      </c>
      <c r="G278" t="s">
        <v>116</v>
      </c>
      <c r="H278" t="s">
        <v>820</v>
      </c>
      <c r="I278" t="s">
        <v>143</v>
      </c>
      <c r="J278" t="s">
        <v>51</v>
      </c>
      <c r="K278">
        <v>25</v>
      </c>
      <c r="L278">
        <v>81866</v>
      </c>
      <c r="M278">
        <v>47801</v>
      </c>
      <c r="N278">
        <v>34065</v>
      </c>
      <c r="O278" s="6">
        <f>Table1[[#This Row],[Profit]]/Table1[[#This Row],[Sales_Amount]]</f>
        <v>0.41610680868736716</v>
      </c>
      <c r="P278" t="s">
        <v>60</v>
      </c>
    </row>
    <row r="279" spans="1:16" x14ac:dyDescent="0.35">
      <c r="A279" t="s">
        <v>821</v>
      </c>
      <c r="B279" t="s">
        <v>425</v>
      </c>
      <c r="C279" t="str">
        <f>TEXT(Table1[[#This Row],[Order_Date]],"mmm")</f>
        <v>Apr</v>
      </c>
      <c r="D279">
        <f>YEAR(Table1[[#This Row],[Order_Date]])</f>
        <v>2025</v>
      </c>
      <c r="E279" t="s">
        <v>111</v>
      </c>
      <c r="F279" t="s">
        <v>112</v>
      </c>
      <c r="G279" t="s">
        <v>48</v>
      </c>
      <c r="H279" t="s">
        <v>822</v>
      </c>
      <c r="I279" t="s">
        <v>82</v>
      </c>
      <c r="J279" t="s">
        <v>83</v>
      </c>
      <c r="K279">
        <v>15</v>
      </c>
      <c r="L279">
        <v>57209</v>
      </c>
      <c r="M279">
        <v>34547</v>
      </c>
      <c r="N279">
        <v>22662</v>
      </c>
      <c r="O279" s="6">
        <f>Table1[[#This Row],[Profit]]/Table1[[#This Row],[Sales_Amount]]</f>
        <v>0.3961264835952385</v>
      </c>
      <c r="P279" t="s">
        <v>60</v>
      </c>
    </row>
    <row r="280" spans="1:16" x14ac:dyDescent="0.35">
      <c r="A280" t="s">
        <v>823</v>
      </c>
      <c r="B280" t="s">
        <v>425</v>
      </c>
      <c r="C280" t="str">
        <f>TEXT(Table1[[#This Row],[Order_Date]],"mmm")</f>
        <v>Apr</v>
      </c>
      <c r="D280">
        <f>YEAR(Table1[[#This Row],[Order_Date]])</f>
        <v>2025</v>
      </c>
      <c r="E280" t="s">
        <v>46</v>
      </c>
      <c r="F280" t="s">
        <v>74</v>
      </c>
      <c r="G280" t="s">
        <v>57</v>
      </c>
      <c r="H280" t="s">
        <v>824</v>
      </c>
      <c r="I280" t="s">
        <v>76</v>
      </c>
      <c r="J280" t="s">
        <v>77</v>
      </c>
      <c r="K280">
        <v>25</v>
      </c>
      <c r="L280">
        <v>31191</v>
      </c>
      <c r="M280">
        <v>15886</v>
      </c>
      <c r="N280">
        <v>15305</v>
      </c>
      <c r="O280" s="6">
        <f>Table1[[#This Row],[Profit]]/Table1[[#This Row],[Sales_Amount]]</f>
        <v>0.49068641595331985</v>
      </c>
      <c r="P280" t="s">
        <v>121</v>
      </c>
    </row>
    <row r="281" spans="1:16" x14ac:dyDescent="0.35">
      <c r="A281" t="s">
        <v>825</v>
      </c>
      <c r="B281" t="s">
        <v>728</v>
      </c>
      <c r="C281" t="str">
        <f>TEXT(Table1[[#This Row],[Order_Date]],"mmm")</f>
        <v>Aug</v>
      </c>
      <c r="D281">
        <f>YEAR(Table1[[#This Row],[Order_Date]])</f>
        <v>2025</v>
      </c>
      <c r="E281" t="s">
        <v>46</v>
      </c>
      <c r="F281" t="s">
        <v>47</v>
      </c>
      <c r="G281" t="s">
        <v>65</v>
      </c>
      <c r="H281" t="s">
        <v>826</v>
      </c>
      <c r="I281" t="s">
        <v>125</v>
      </c>
      <c r="J281" t="s">
        <v>83</v>
      </c>
      <c r="K281">
        <v>6</v>
      </c>
      <c r="L281">
        <v>47753</v>
      </c>
      <c r="M281">
        <v>33045</v>
      </c>
      <c r="N281">
        <v>14708</v>
      </c>
      <c r="O281" s="6">
        <f>Table1[[#This Row],[Profit]]/Table1[[#This Row],[Sales_Amount]]</f>
        <v>0.30800159152304568</v>
      </c>
      <c r="P281" t="s">
        <v>52</v>
      </c>
    </row>
    <row r="282" spans="1:16" x14ac:dyDescent="0.35">
      <c r="A282" t="s">
        <v>827</v>
      </c>
      <c r="B282" t="s">
        <v>828</v>
      </c>
      <c r="C282" t="str">
        <f>TEXT(Table1[[#This Row],[Order_Date]],"mmm")</f>
        <v>Oct</v>
      </c>
      <c r="D282">
        <f>YEAR(Table1[[#This Row],[Order_Date]])</f>
        <v>2025</v>
      </c>
      <c r="E282" t="s">
        <v>111</v>
      </c>
      <c r="F282" t="s">
        <v>112</v>
      </c>
      <c r="G282" t="s">
        <v>70</v>
      </c>
      <c r="H282" t="s">
        <v>829</v>
      </c>
      <c r="I282" t="s">
        <v>50</v>
      </c>
      <c r="J282" t="s">
        <v>51</v>
      </c>
      <c r="K282">
        <v>4</v>
      </c>
      <c r="L282">
        <v>92321</v>
      </c>
      <c r="M282">
        <v>42623</v>
      </c>
      <c r="N282">
        <v>49698</v>
      </c>
      <c r="O282" s="6">
        <f>Table1[[#This Row],[Profit]]/Table1[[#This Row],[Sales_Amount]]</f>
        <v>0.53831739257590361</v>
      </c>
      <c r="P282" t="s">
        <v>60</v>
      </c>
    </row>
    <row r="283" spans="1:16" x14ac:dyDescent="0.35">
      <c r="A283" t="s">
        <v>830</v>
      </c>
      <c r="B283" t="s">
        <v>831</v>
      </c>
      <c r="C283" t="str">
        <f>TEXT(Table1[[#This Row],[Order_Date]],"mmm")</f>
        <v>Apr</v>
      </c>
      <c r="D283">
        <f>YEAR(Table1[[#This Row],[Order_Date]])</f>
        <v>2025</v>
      </c>
      <c r="E283" t="s">
        <v>63</v>
      </c>
      <c r="F283" t="s">
        <v>104</v>
      </c>
      <c r="G283" t="s">
        <v>128</v>
      </c>
      <c r="H283" t="s">
        <v>832</v>
      </c>
      <c r="I283" t="s">
        <v>76</v>
      </c>
      <c r="J283" t="s">
        <v>77</v>
      </c>
      <c r="K283">
        <v>5</v>
      </c>
      <c r="L283">
        <v>4476</v>
      </c>
      <c r="M283">
        <v>3232</v>
      </c>
      <c r="N283">
        <v>1244</v>
      </c>
      <c r="O283" s="6">
        <f>Table1[[#This Row],[Profit]]/Table1[[#This Row],[Sales_Amount]]</f>
        <v>0.2779267202859696</v>
      </c>
      <c r="P283" t="s">
        <v>98</v>
      </c>
    </row>
    <row r="284" spans="1:16" x14ac:dyDescent="0.35">
      <c r="A284" t="s">
        <v>833</v>
      </c>
      <c r="B284" t="s">
        <v>54</v>
      </c>
      <c r="C284" t="str">
        <f>TEXT(Table1[[#This Row],[Order_Date]],"mmm")</f>
        <v>Dec</v>
      </c>
      <c r="D284">
        <f>YEAR(Table1[[#This Row],[Order_Date]])</f>
        <v>2025</v>
      </c>
      <c r="E284" t="s">
        <v>55</v>
      </c>
      <c r="F284" t="s">
        <v>188</v>
      </c>
      <c r="G284" t="s">
        <v>80</v>
      </c>
      <c r="H284" t="s">
        <v>834</v>
      </c>
      <c r="I284" t="s">
        <v>156</v>
      </c>
      <c r="J284" t="s">
        <v>157</v>
      </c>
      <c r="K284">
        <v>25</v>
      </c>
      <c r="L284">
        <v>86145</v>
      </c>
      <c r="M284">
        <v>70558</v>
      </c>
      <c r="N284">
        <v>15587</v>
      </c>
      <c r="O284" s="6">
        <f>Table1[[#This Row],[Profit]]/Table1[[#This Row],[Sales_Amount]]</f>
        <v>0.18093911428405596</v>
      </c>
      <c r="P284" t="s">
        <v>52</v>
      </c>
    </row>
    <row r="285" spans="1:16" x14ac:dyDescent="0.35">
      <c r="A285" t="s">
        <v>835</v>
      </c>
      <c r="B285" t="s">
        <v>741</v>
      </c>
      <c r="C285" t="str">
        <f>TEXT(Table1[[#This Row],[Order_Date]],"mmm")</f>
        <v>Aug</v>
      </c>
      <c r="D285">
        <f>YEAR(Table1[[#This Row],[Order_Date]])</f>
        <v>2025</v>
      </c>
      <c r="E285" t="s">
        <v>63</v>
      </c>
      <c r="F285" t="s">
        <v>64</v>
      </c>
      <c r="G285" t="s">
        <v>48</v>
      </c>
      <c r="H285" t="s">
        <v>836</v>
      </c>
      <c r="I285" t="s">
        <v>125</v>
      </c>
      <c r="J285" t="s">
        <v>83</v>
      </c>
      <c r="K285">
        <v>3</v>
      </c>
      <c r="L285">
        <v>85212</v>
      </c>
      <c r="M285">
        <v>55243</v>
      </c>
      <c r="N285">
        <v>29969</v>
      </c>
      <c r="O285" s="6">
        <f>Table1[[#This Row],[Profit]]/Table1[[#This Row],[Sales_Amount]]</f>
        <v>0.35169929117964605</v>
      </c>
      <c r="P285" t="s">
        <v>121</v>
      </c>
    </row>
    <row r="286" spans="1:16" x14ac:dyDescent="0.35">
      <c r="A286" t="s">
        <v>837</v>
      </c>
      <c r="B286" t="s">
        <v>246</v>
      </c>
      <c r="C286" t="str">
        <f>TEXT(Table1[[#This Row],[Order_Date]],"mmm")</f>
        <v>Nov</v>
      </c>
      <c r="D286">
        <f>YEAR(Table1[[#This Row],[Order_Date]])</f>
        <v>2025</v>
      </c>
      <c r="E286" t="s">
        <v>46</v>
      </c>
      <c r="F286" t="s">
        <v>47</v>
      </c>
      <c r="G286" t="s">
        <v>138</v>
      </c>
      <c r="H286" t="s">
        <v>838</v>
      </c>
      <c r="I286" t="s">
        <v>59</v>
      </c>
      <c r="J286" t="s">
        <v>51</v>
      </c>
      <c r="K286">
        <v>11</v>
      </c>
      <c r="L286">
        <v>78468</v>
      </c>
      <c r="M286">
        <v>41966</v>
      </c>
      <c r="N286">
        <v>36502</v>
      </c>
      <c r="O286" s="6">
        <f>Table1[[#This Row],[Profit]]/Table1[[#This Row],[Sales_Amount]]</f>
        <v>0.46518325941785188</v>
      </c>
      <c r="P286" t="s">
        <v>60</v>
      </c>
    </row>
    <row r="287" spans="1:16" x14ac:dyDescent="0.35">
      <c r="A287" t="s">
        <v>839</v>
      </c>
      <c r="B287" t="s">
        <v>840</v>
      </c>
      <c r="C287" t="str">
        <f>TEXT(Table1[[#This Row],[Order_Date]],"mmm")</f>
        <v>Jun</v>
      </c>
      <c r="D287">
        <f>YEAR(Table1[[#This Row],[Order_Date]])</f>
        <v>2025</v>
      </c>
      <c r="E287" t="s">
        <v>46</v>
      </c>
      <c r="F287" t="s">
        <v>74</v>
      </c>
      <c r="G287" t="s">
        <v>80</v>
      </c>
      <c r="H287" t="s">
        <v>841</v>
      </c>
      <c r="I287" t="s">
        <v>156</v>
      </c>
      <c r="J287" t="s">
        <v>157</v>
      </c>
      <c r="K287">
        <v>14</v>
      </c>
      <c r="L287">
        <v>70680</v>
      </c>
      <c r="M287">
        <v>58433</v>
      </c>
      <c r="N287">
        <v>12247</v>
      </c>
      <c r="O287" s="6">
        <f>Table1[[#This Row],[Profit]]/Table1[[#This Row],[Sales_Amount]]</f>
        <v>0.17327391058290889</v>
      </c>
      <c r="P287" t="s">
        <v>98</v>
      </c>
    </row>
    <row r="288" spans="1:16" x14ac:dyDescent="0.35">
      <c r="A288" t="s">
        <v>842</v>
      </c>
      <c r="B288" t="s">
        <v>843</v>
      </c>
      <c r="C288" t="str">
        <f>TEXT(Table1[[#This Row],[Order_Date]],"mmm")</f>
        <v>Mar</v>
      </c>
      <c r="D288">
        <f>YEAR(Table1[[#This Row],[Order_Date]])</f>
        <v>2025</v>
      </c>
      <c r="E288" t="s">
        <v>111</v>
      </c>
      <c r="F288" t="s">
        <v>112</v>
      </c>
      <c r="G288" t="s">
        <v>57</v>
      </c>
      <c r="H288" t="s">
        <v>844</v>
      </c>
      <c r="I288" t="s">
        <v>59</v>
      </c>
      <c r="J288" t="s">
        <v>51</v>
      </c>
      <c r="K288">
        <v>11</v>
      </c>
      <c r="L288">
        <v>44724</v>
      </c>
      <c r="M288">
        <v>21052</v>
      </c>
      <c r="N288">
        <v>23672</v>
      </c>
      <c r="O288" s="6">
        <f>Table1[[#This Row],[Profit]]/Table1[[#This Row],[Sales_Amount]]</f>
        <v>0.52929076111260176</v>
      </c>
      <c r="P288" t="s">
        <v>60</v>
      </c>
    </row>
    <row r="289" spans="1:16" x14ac:dyDescent="0.35">
      <c r="A289" t="s">
        <v>845</v>
      </c>
      <c r="B289" t="s">
        <v>548</v>
      </c>
      <c r="C289" t="str">
        <f>TEXT(Table1[[#This Row],[Order_Date]],"mmm")</f>
        <v>Sep</v>
      </c>
      <c r="D289">
        <f>YEAR(Table1[[#This Row],[Order_Date]])</f>
        <v>2025</v>
      </c>
      <c r="E289" t="s">
        <v>46</v>
      </c>
      <c r="F289" t="s">
        <v>47</v>
      </c>
      <c r="G289" t="s">
        <v>57</v>
      </c>
      <c r="H289" t="s">
        <v>846</v>
      </c>
      <c r="I289" t="s">
        <v>50</v>
      </c>
      <c r="J289" t="s">
        <v>51</v>
      </c>
      <c r="K289">
        <v>19</v>
      </c>
      <c r="L289">
        <v>93018</v>
      </c>
      <c r="M289">
        <v>62695</v>
      </c>
      <c r="N289">
        <v>30323</v>
      </c>
      <c r="O289" s="6">
        <f>Table1[[#This Row],[Profit]]/Table1[[#This Row],[Sales_Amount]]</f>
        <v>0.3259906684727687</v>
      </c>
      <c r="P289" t="s">
        <v>52</v>
      </c>
    </row>
    <row r="290" spans="1:16" x14ac:dyDescent="0.35">
      <c r="A290" t="s">
        <v>847</v>
      </c>
      <c r="B290" t="s">
        <v>542</v>
      </c>
      <c r="C290" t="str">
        <f>TEXT(Table1[[#This Row],[Order_Date]],"mmm")</f>
        <v>Jul</v>
      </c>
      <c r="D290">
        <f>YEAR(Table1[[#This Row],[Order_Date]])</f>
        <v>2025</v>
      </c>
      <c r="E290" t="s">
        <v>111</v>
      </c>
      <c r="F290" t="s">
        <v>112</v>
      </c>
      <c r="G290" t="s">
        <v>57</v>
      </c>
      <c r="H290" t="s">
        <v>464</v>
      </c>
      <c r="I290" t="s">
        <v>67</v>
      </c>
      <c r="J290" t="s">
        <v>51</v>
      </c>
      <c r="K290">
        <v>7</v>
      </c>
      <c r="L290">
        <v>19558</v>
      </c>
      <c r="M290">
        <v>10012</v>
      </c>
      <c r="N290">
        <v>9546</v>
      </c>
      <c r="O290" s="6">
        <f>Table1[[#This Row],[Profit]]/Table1[[#This Row],[Sales_Amount]]</f>
        <v>0.48808671643317314</v>
      </c>
      <c r="P290" t="s">
        <v>60</v>
      </c>
    </row>
    <row r="291" spans="1:16" x14ac:dyDescent="0.35">
      <c r="A291" t="s">
        <v>848</v>
      </c>
      <c r="B291" t="s">
        <v>849</v>
      </c>
      <c r="C291" t="str">
        <f>TEXT(Table1[[#This Row],[Order_Date]],"mmm")</f>
        <v>Apr</v>
      </c>
      <c r="D291">
        <f>YEAR(Table1[[#This Row],[Order_Date]])</f>
        <v>2025</v>
      </c>
      <c r="E291" t="s">
        <v>55</v>
      </c>
      <c r="F291" t="s">
        <v>56</v>
      </c>
      <c r="G291" t="s">
        <v>80</v>
      </c>
      <c r="H291" t="s">
        <v>850</v>
      </c>
      <c r="I291" t="s">
        <v>125</v>
      </c>
      <c r="J291" t="s">
        <v>83</v>
      </c>
      <c r="K291">
        <v>23</v>
      </c>
      <c r="L291">
        <v>74796</v>
      </c>
      <c r="M291">
        <v>50940</v>
      </c>
      <c r="N291">
        <v>23856</v>
      </c>
      <c r="O291" s="6">
        <f>Table1[[#This Row],[Profit]]/Table1[[#This Row],[Sales_Amount]]</f>
        <v>0.31894753730145997</v>
      </c>
      <c r="P291" t="s">
        <v>52</v>
      </c>
    </row>
    <row r="292" spans="1:16" x14ac:dyDescent="0.35">
      <c r="A292" t="s">
        <v>851</v>
      </c>
      <c r="B292" t="s">
        <v>652</v>
      </c>
      <c r="C292" t="str">
        <f>TEXT(Table1[[#This Row],[Order_Date]],"mmm")</f>
        <v>Jul</v>
      </c>
      <c r="D292">
        <f>YEAR(Table1[[#This Row],[Order_Date]])</f>
        <v>2025</v>
      </c>
      <c r="E292" t="s">
        <v>55</v>
      </c>
      <c r="F292" t="s">
        <v>56</v>
      </c>
      <c r="G292" t="s">
        <v>48</v>
      </c>
      <c r="H292" t="s">
        <v>852</v>
      </c>
      <c r="I292" t="s">
        <v>156</v>
      </c>
      <c r="J292" t="s">
        <v>157</v>
      </c>
      <c r="K292">
        <v>24</v>
      </c>
      <c r="L292">
        <v>96553</v>
      </c>
      <c r="M292">
        <v>73960</v>
      </c>
      <c r="N292">
        <v>22593</v>
      </c>
      <c r="O292" s="6">
        <f>Table1[[#This Row],[Profit]]/Table1[[#This Row],[Sales_Amount]]</f>
        <v>0.23399583648358932</v>
      </c>
      <c r="P292" t="s">
        <v>121</v>
      </c>
    </row>
    <row r="293" spans="1:16" x14ac:dyDescent="0.35">
      <c r="A293" t="s">
        <v>853</v>
      </c>
      <c r="B293" t="s">
        <v>187</v>
      </c>
      <c r="C293" t="str">
        <f>TEXT(Table1[[#This Row],[Order_Date]],"mmm")</f>
        <v>Apr</v>
      </c>
      <c r="D293">
        <f>YEAR(Table1[[#This Row],[Order_Date]])</f>
        <v>2025</v>
      </c>
      <c r="E293" t="s">
        <v>63</v>
      </c>
      <c r="F293" t="s">
        <v>64</v>
      </c>
      <c r="G293" t="s">
        <v>128</v>
      </c>
      <c r="H293" t="s">
        <v>854</v>
      </c>
      <c r="I293" t="s">
        <v>50</v>
      </c>
      <c r="J293" t="s">
        <v>51</v>
      </c>
      <c r="K293">
        <v>15</v>
      </c>
      <c r="L293">
        <v>63869</v>
      </c>
      <c r="M293">
        <v>32387</v>
      </c>
      <c r="N293">
        <v>31482</v>
      </c>
      <c r="O293" s="6">
        <f>Table1[[#This Row],[Profit]]/Table1[[#This Row],[Sales_Amount]]</f>
        <v>0.49291518577087479</v>
      </c>
      <c r="P293" t="s">
        <v>60</v>
      </c>
    </row>
    <row r="294" spans="1:16" x14ac:dyDescent="0.35">
      <c r="A294" t="s">
        <v>855</v>
      </c>
      <c r="B294" t="s">
        <v>856</v>
      </c>
      <c r="C294" t="str">
        <f>TEXT(Table1[[#This Row],[Order_Date]],"mmm")</f>
        <v>Oct</v>
      </c>
      <c r="D294">
        <f>YEAR(Table1[[#This Row],[Order_Date]])</f>
        <v>2025</v>
      </c>
      <c r="E294" t="s">
        <v>63</v>
      </c>
      <c r="F294" t="s">
        <v>104</v>
      </c>
      <c r="G294" t="s">
        <v>70</v>
      </c>
      <c r="H294" t="s">
        <v>857</v>
      </c>
      <c r="I294" t="s">
        <v>156</v>
      </c>
      <c r="J294" t="s">
        <v>157</v>
      </c>
      <c r="K294">
        <v>17</v>
      </c>
      <c r="L294">
        <v>51656</v>
      </c>
      <c r="M294">
        <v>43905</v>
      </c>
      <c r="N294">
        <v>7751</v>
      </c>
      <c r="O294" s="6">
        <f>Table1[[#This Row],[Profit]]/Table1[[#This Row],[Sales_Amount]]</f>
        <v>0.1500503329719684</v>
      </c>
      <c r="P294" t="s">
        <v>60</v>
      </c>
    </row>
    <row r="295" spans="1:16" x14ac:dyDescent="0.35">
      <c r="A295" t="s">
        <v>858</v>
      </c>
      <c r="B295" t="s">
        <v>382</v>
      </c>
      <c r="C295" t="str">
        <f>TEXT(Table1[[#This Row],[Order_Date]],"mmm")</f>
        <v>Jul</v>
      </c>
      <c r="D295">
        <f>YEAR(Table1[[#This Row],[Order_Date]])</f>
        <v>2025</v>
      </c>
      <c r="E295" t="s">
        <v>63</v>
      </c>
      <c r="F295" t="s">
        <v>104</v>
      </c>
      <c r="G295" t="s">
        <v>57</v>
      </c>
      <c r="H295" t="s">
        <v>859</v>
      </c>
      <c r="I295" t="s">
        <v>76</v>
      </c>
      <c r="J295" t="s">
        <v>77</v>
      </c>
      <c r="K295">
        <v>22</v>
      </c>
      <c r="L295">
        <v>48013</v>
      </c>
      <c r="M295">
        <v>24543</v>
      </c>
      <c r="N295">
        <v>23470</v>
      </c>
      <c r="O295" s="6">
        <f>Table1[[#This Row],[Profit]]/Table1[[#This Row],[Sales_Amount]]</f>
        <v>0.48882594297377796</v>
      </c>
      <c r="P295" t="s">
        <v>60</v>
      </c>
    </row>
    <row r="296" spans="1:16" x14ac:dyDescent="0.35">
      <c r="A296" t="s">
        <v>860</v>
      </c>
      <c r="B296" t="s">
        <v>428</v>
      </c>
      <c r="C296" t="str">
        <f>TEXT(Table1[[#This Row],[Order_Date]],"mmm")</f>
        <v>Jan</v>
      </c>
      <c r="D296">
        <f>YEAR(Table1[[#This Row],[Order_Date]])</f>
        <v>2025</v>
      </c>
      <c r="E296" t="s">
        <v>111</v>
      </c>
      <c r="F296" t="s">
        <v>169</v>
      </c>
      <c r="G296" t="s">
        <v>70</v>
      </c>
      <c r="H296" t="s">
        <v>861</v>
      </c>
      <c r="I296" t="s">
        <v>156</v>
      </c>
      <c r="J296" t="s">
        <v>157</v>
      </c>
      <c r="K296">
        <v>8</v>
      </c>
      <c r="L296">
        <v>30784</v>
      </c>
      <c r="M296">
        <v>21967</v>
      </c>
      <c r="N296">
        <v>8817</v>
      </c>
      <c r="O296" s="6">
        <f>Table1[[#This Row],[Profit]]/Table1[[#This Row],[Sales_Amount]]</f>
        <v>0.28641502079002079</v>
      </c>
      <c r="P296" t="s">
        <v>52</v>
      </c>
    </row>
    <row r="297" spans="1:16" x14ac:dyDescent="0.35">
      <c r="A297" t="s">
        <v>862</v>
      </c>
      <c r="B297" t="s">
        <v>863</v>
      </c>
      <c r="C297" t="str">
        <f>TEXT(Table1[[#This Row],[Order_Date]],"mmm")</f>
        <v>Aug</v>
      </c>
      <c r="D297">
        <f>YEAR(Table1[[#This Row],[Order_Date]])</f>
        <v>2025</v>
      </c>
      <c r="E297" t="s">
        <v>111</v>
      </c>
      <c r="F297" t="s">
        <v>169</v>
      </c>
      <c r="G297" t="s">
        <v>80</v>
      </c>
      <c r="H297" t="s">
        <v>864</v>
      </c>
      <c r="I297" t="s">
        <v>59</v>
      </c>
      <c r="J297" t="s">
        <v>51</v>
      </c>
      <c r="K297">
        <v>12</v>
      </c>
      <c r="L297">
        <v>61075</v>
      </c>
      <c r="M297">
        <v>41867</v>
      </c>
      <c r="N297">
        <v>19208</v>
      </c>
      <c r="O297" s="6">
        <f>Table1[[#This Row],[Profit]]/Table1[[#This Row],[Sales_Amount]]</f>
        <v>0.31449856733524356</v>
      </c>
      <c r="P297" t="s">
        <v>121</v>
      </c>
    </row>
    <row r="298" spans="1:16" x14ac:dyDescent="0.35">
      <c r="A298" t="s">
        <v>865</v>
      </c>
      <c r="B298" t="s">
        <v>840</v>
      </c>
      <c r="C298" t="str">
        <f>TEXT(Table1[[#This Row],[Order_Date]],"mmm")</f>
        <v>Jun</v>
      </c>
      <c r="D298">
        <f>YEAR(Table1[[#This Row],[Order_Date]])</f>
        <v>2025</v>
      </c>
      <c r="E298" t="s">
        <v>55</v>
      </c>
      <c r="F298" t="s">
        <v>188</v>
      </c>
      <c r="G298" t="s">
        <v>116</v>
      </c>
      <c r="H298" t="s">
        <v>866</v>
      </c>
      <c r="I298" t="s">
        <v>50</v>
      </c>
      <c r="J298" t="s">
        <v>51</v>
      </c>
      <c r="K298">
        <v>25</v>
      </c>
      <c r="L298">
        <v>4854</v>
      </c>
      <c r="M298">
        <v>3109</v>
      </c>
      <c r="N298">
        <v>1745</v>
      </c>
      <c r="O298" s="6">
        <f>Table1[[#This Row],[Profit]]/Table1[[#This Row],[Sales_Amount]]</f>
        <v>0.35949732179645655</v>
      </c>
      <c r="P298" t="s">
        <v>60</v>
      </c>
    </row>
    <row r="299" spans="1:16" x14ac:dyDescent="0.35">
      <c r="A299" t="s">
        <v>867</v>
      </c>
      <c r="B299" t="s">
        <v>868</v>
      </c>
      <c r="C299" t="str">
        <f>TEXT(Table1[[#This Row],[Order_Date]],"mmm")</f>
        <v>Jun</v>
      </c>
      <c r="D299">
        <f>YEAR(Table1[[#This Row],[Order_Date]])</f>
        <v>2025</v>
      </c>
      <c r="E299" t="s">
        <v>55</v>
      </c>
      <c r="F299" t="s">
        <v>56</v>
      </c>
      <c r="G299" t="s">
        <v>116</v>
      </c>
      <c r="H299" t="s">
        <v>343</v>
      </c>
      <c r="I299" t="s">
        <v>50</v>
      </c>
      <c r="J299" t="s">
        <v>51</v>
      </c>
      <c r="K299">
        <v>15</v>
      </c>
      <c r="L299">
        <v>95531</v>
      </c>
      <c r="M299">
        <v>65186</v>
      </c>
      <c r="N299">
        <v>30345</v>
      </c>
      <c r="O299" s="6">
        <f>Table1[[#This Row],[Profit]]/Table1[[#This Row],[Sales_Amount]]</f>
        <v>0.31764558101558654</v>
      </c>
      <c r="P299" t="s">
        <v>52</v>
      </c>
    </row>
    <row r="300" spans="1:16" x14ac:dyDescent="0.35">
      <c r="A300" t="s">
        <v>869</v>
      </c>
      <c r="B300" t="s">
        <v>209</v>
      </c>
      <c r="C300" t="str">
        <f>TEXT(Table1[[#This Row],[Order_Date]],"mmm")</f>
        <v>Sep</v>
      </c>
      <c r="D300">
        <f>YEAR(Table1[[#This Row],[Order_Date]])</f>
        <v>2025</v>
      </c>
      <c r="E300" t="s">
        <v>63</v>
      </c>
      <c r="F300" t="s">
        <v>104</v>
      </c>
      <c r="G300" t="s">
        <v>65</v>
      </c>
      <c r="H300" t="s">
        <v>870</v>
      </c>
      <c r="I300" t="s">
        <v>76</v>
      </c>
      <c r="J300" t="s">
        <v>77</v>
      </c>
      <c r="K300">
        <v>15</v>
      </c>
      <c r="L300">
        <v>115331</v>
      </c>
      <c r="M300">
        <v>63059</v>
      </c>
      <c r="N300">
        <v>52272</v>
      </c>
      <c r="O300" s="6">
        <f>Table1[[#This Row],[Profit]]/Table1[[#This Row],[Sales_Amount]]</f>
        <v>0.45323460301219964</v>
      </c>
      <c r="P300" t="s">
        <v>60</v>
      </c>
    </row>
    <row r="301" spans="1:16" x14ac:dyDescent="0.35">
      <c r="A301" t="s">
        <v>871</v>
      </c>
      <c r="B301" t="s">
        <v>872</v>
      </c>
      <c r="C301" t="str">
        <f>TEXT(Table1[[#This Row],[Order_Date]],"mmm")</f>
        <v>Mar</v>
      </c>
      <c r="D301">
        <f>YEAR(Table1[[#This Row],[Order_Date]])</f>
        <v>2025</v>
      </c>
      <c r="E301" t="s">
        <v>111</v>
      </c>
      <c r="F301" t="s">
        <v>169</v>
      </c>
      <c r="G301" t="s">
        <v>57</v>
      </c>
      <c r="H301" t="s">
        <v>873</v>
      </c>
      <c r="I301" t="s">
        <v>156</v>
      </c>
      <c r="J301" t="s">
        <v>157</v>
      </c>
      <c r="K301">
        <v>18</v>
      </c>
      <c r="L301">
        <v>43487</v>
      </c>
      <c r="M301">
        <v>35624</v>
      </c>
      <c r="N301">
        <v>7863</v>
      </c>
      <c r="O301" s="6">
        <f>Table1[[#This Row],[Profit]]/Table1[[#This Row],[Sales_Amount]]</f>
        <v>0.18081265665601215</v>
      </c>
      <c r="P301" t="s">
        <v>60</v>
      </c>
    </row>
    <row r="302" spans="1:16" x14ac:dyDescent="0.35">
      <c r="A302" t="s">
        <v>874</v>
      </c>
      <c r="B302" t="s">
        <v>875</v>
      </c>
      <c r="C302" t="str">
        <f>TEXT(Table1[[#This Row],[Order_Date]],"mmm")</f>
        <v>Sep</v>
      </c>
      <c r="D302">
        <f>YEAR(Table1[[#This Row],[Order_Date]])</f>
        <v>2025</v>
      </c>
      <c r="E302" t="s">
        <v>46</v>
      </c>
      <c r="F302" t="s">
        <v>47</v>
      </c>
      <c r="G302" t="s">
        <v>57</v>
      </c>
      <c r="H302" t="s">
        <v>876</v>
      </c>
      <c r="I302" t="s">
        <v>50</v>
      </c>
      <c r="J302" t="s">
        <v>51</v>
      </c>
      <c r="K302">
        <v>25</v>
      </c>
      <c r="L302">
        <v>41573</v>
      </c>
      <c r="M302">
        <v>29392</v>
      </c>
      <c r="N302">
        <v>12181</v>
      </c>
      <c r="O302" s="6">
        <f>Table1[[#This Row],[Profit]]/Table1[[#This Row],[Sales_Amount]]</f>
        <v>0.29300267000216484</v>
      </c>
      <c r="P302" t="s">
        <v>98</v>
      </c>
    </row>
    <row r="303" spans="1:16" x14ac:dyDescent="0.35">
      <c r="A303" t="s">
        <v>877</v>
      </c>
      <c r="B303" t="s">
        <v>600</v>
      </c>
      <c r="C303" t="str">
        <f>TEXT(Table1[[#This Row],[Order_Date]],"mmm")</f>
        <v>Oct</v>
      </c>
      <c r="D303">
        <f>YEAR(Table1[[#This Row],[Order_Date]])</f>
        <v>2025</v>
      </c>
      <c r="E303" t="s">
        <v>55</v>
      </c>
      <c r="F303" t="s">
        <v>188</v>
      </c>
      <c r="G303" t="s">
        <v>128</v>
      </c>
      <c r="H303" t="s">
        <v>878</v>
      </c>
      <c r="I303" t="s">
        <v>125</v>
      </c>
      <c r="J303" t="s">
        <v>83</v>
      </c>
      <c r="K303">
        <v>15</v>
      </c>
      <c r="L303">
        <v>52709</v>
      </c>
      <c r="M303">
        <v>43135</v>
      </c>
      <c r="N303">
        <v>9574</v>
      </c>
      <c r="O303" s="6">
        <f>Table1[[#This Row],[Profit]]/Table1[[#This Row],[Sales_Amount]]</f>
        <v>0.18163880931150278</v>
      </c>
      <c r="P303" t="s">
        <v>52</v>
      </c>
    </row>
    <row r="304" spans="1:16" x14ac:dyDescent="0.35">
      <c r="A304" t="s">
        <v>879</v>
      </c>
      <c r="B304" t="s">
        <v>880</v>
      </c>
      <c r="C304" t="str">
        <f>TEXT(Table1[[#This Row],[Order_Date]],"mmm")</f>
        <v>Oct</v>
      </c>
      <c r="D304">
        <f>YEAR(Table1[[#This Row],[Order_Date]])</f>
        <v>2025</v>
      </c>
      <c r="E304" t="s">
        <v>63</v>
      </c>
      <c r="F304" t="s">
        <v>64</v>
      </c>
      <c r="G304" t="s">
        <v>116</v>
      </c>
      <c r="H304" t="s">
        <v>881</v>
      </c>
      <c r="I304" t="s">
        <v>143</v>
      </c>
      <c r="J304" t="s">
        <v>51</v>
      </c>
      <c r="K304">
        <v>10</v>
      </c>
      <c r="L304">
        <v>93867</v>
      </c>
      <c r="M304">
        <v>63241</v>
      </c>
      <c r="N304">
        <v>30626</v>
      </c>
      <c r="O304" s="6">
        <f>Table1[[#This Row],[Profit]]/Table1[[#This Row],[Sales_Amount]]</f>
        <v>0.32627014818839423</v>
      </c>
      <c r="P304" t="s">
        <v>60</v>
      </c>
    </row>
    <row r="305" spans="1:16" x14ac:dyDescent="0.35">
      <c r="A305" t="s">
        <v>882</v>
      </c>
      <c r="B305" t="s">
        <v>446</v>
      </c>
      <c r="C305" t="str">
        <f>TEXT(Table1[[#This Row],[Order_Date]],"mmm")</f>
        <v>Apr</v>
      </c>
      <c r="D305">
        <f>YEAR(Table1[[#This Row],[Order_Date]])</f>
        <v>2025</v>
      </c>
      <c r="E305" t="s">
        <v>111</v>
      </c>
      <c r="F305" t="s">
        <v>169</v>
      </c>
      <c r="G305" t="s">
        <v>65</v>
      </c>
      <c r="H305" t="s">
        <v>883</v>
      </c>
      <c r="I305" t="s">
        <v>82</v>
      </c>
      <c r="J305" t="s">
        <v>83</v>
      </c>
      <c r="K305">
        <v>25</v>
      </c>
      <c r="L305">
        <v>15065</v>
      </c>
      <c r="M305">
        <v>8994</v>
      </c>
      <c r="N305">
        <v>6071</v>
      </c>
      <c r="O305" s="6">
        <f>Table1[[#This Row],[Profit]]/Table1[[#This Row],[Sales_Amount]]</f>
        <v>0.40298705609027546</v>
      </c>
      <c r="P305" t="s">
        <v>98</v>
      </c>
    </row>
    <row r="306" spans="1:16" x14ac:dyDescent="0.35">
      <c r="A306" t="s">
        <v>884</v>
      </c>
      <c r="B306" t="s">
        <v>45</v>
      </c>
      <c r="C306" t="str">
        <f>TEXT(Table1[[#This Row],[Order_Date]],"mmm")</f>
        <v>Jul</v>
      </c>
      <c r="D306">
        <f>YEAR(Table1[[#This Row],[Order_Date]])</f>
        <v>2025</v>
      </c>
      <c r="E306" t="s">
        <v>55</v>
      </c>
      <c r="F306" t="s">
        <v>56</v>
      </c>
      <c r="G306" t="s">
        <v>57</v>
      </c>
      <c r="H306" t="s">
        <v>885</v>
      </c>
      <c r="I306" t="s">
        <v>67</v>
      </c>
      <c r="J306" t="s">
        <v>51</v>
      </c>
      <c r="K306">
        <v>11</v>
      </c>
      <c r="L306">
        <v>48776</v>
      </c>
      <c r="M306">
        <v>38874</v>
      </c>
      <c r="N306">
        <v>9902</v>
      </c>
      <c r="O306" s="6">
        <f>Table1[[#This Row],[Profit]]/Table1[[#This Row],[Sales_Amount]]</f>
        <v>0.20300967689027391</v>
      </c>
      <c r="P306" t="s">
        <v>60</v>
      </c>
    </row>
    <row r="307" spans="1:16" x14ac:dyDescent="0.35">
      <c r="A307" t="s">
        <v>886</v>
      </c>
      <c r="B307" t="s">
        <v>443</v>
      </c>
      <c r="C307" t="str">
        <f>TEXT(Table1[[#This Row],[Order_Date]],"mmm")</f>
        <v>Dec</v>
      </c>
      <c r="D307">
        <f>YEAR(Table1[[#This Row],[Order_Date]])</f>
        <v>2025</v>
      </c>
      <c r="E307" t="s">
        <v>63</v>
      </c>
      <c r="F307" t="s">
        <v>64</v>
      </c>
      <c r="G307" t="s">
        <v>80</v>
      </c>
      <c r="H307" t="s">
        <v>887</v>
      </c>
      <c r="I307" t="s">
        <v>76</v>
      </c>
      <c r="J307" t="s">
        <v>77</v>
      </c>
      <c r="K307">
        <v>6</v>
      </c>
      <c r="L307">
        <v>107342</v>
      </c>
      <c r="M307">
        <v>53809</v>
      </c>
      <c r="N307">
        <v>53533</v>
      </c>
      <c r="O307" s="6">
        <f>Table1[[#This Row],[Profit]]/Table1[[#This Row],[Sales_Amount]]</f>
        <v>0.498714389521343</v>
      </c>
      <c r="P307" t="s">
        <v>121</v>
      </c>
    </row>
    <row r="308" spans="1:16" x14ac:dyDescent="0.35">
      <c r="A308" t="s">
        <v>888</v>
      </c>
      <c r="B308" t="s">
        <v>463</v>
      </c>
      <c r="C308" t="str">
        <f>TEXT(Table1[[#This Row],[Order_Date]],"mmm")</f>
        <v>Apr</v>
      </c>
      <c r="D308">
        <f>YEAR(Table1[[#This Row],[Order_Date]])</f>
        <v>2025</v>
      </c>
      <c r="E308" t="s">
        <v>46</v>
      </c>
      <c r="F308" t="s">
        <v>74</v>
      </c>
      <c r="G308" t="s">
        <v>57</v>
      </c>
      <c r="H308" t="s">
        <v>889</v>
      </c>
      <c r="I308" t="s">
        <v>125</v>
      </c>
      <c r="J308" t="s">
        <v>83</v>
      </c>
      <c r="K308">
        <v>8</v>
      </c>
      <c r="L308">
        <v>13489</v>
      </c>
      <c r="M308">
        <v>10131</v>
      </c>
      <c r="N308">
        <v>3358</v>
      </c>
      <c r="O308" s="6">
        <f>Table1[[#This Row],[Profit]]/Table1[[#This Row],[Sales_Amount]]</f>
        <v>0.24894358366076061</v>
      </c>
      <c r="P308" t="s">
        <v>52</v>
      </c>
    </row>
    <row r="309" spans="1:16" x14ac:dyDescent="0.35">
      <c r="A309" t="s">
        <v>890</v>
      </c>
      <c r="B309" t="s">
        <v>891</v>
      </c>
      <c r="C309" t="str">
        <f>TEXT(Table1[[#This Row],[Order_Date]],"mmm")</f>
        <v>Jun</v>
      </c>
      <c r="D309">
        <f>YEAR(Table1[[#This Row],[Order_Date]])</f>
        <v>2025</v>
      </c>
      <c r="E309" t="s">
        <v>55</v>
      </c>
      <c r="F309" t="s">
        <v>188</v>
      </c>
      <c r="G309" t="s">
        <v>48</v>
      </c>
      <c r="H309" t="s">
        <v>892</v>
      </c>
      <c r="I309" t="s">
        <v>143</v>
      </c>
      <c r="J309" t="s">
        <v>51</v>
      </c>
      <c r="K309">
        <v>22</v>
      </c>
      <c r="L309">
        <v>44863</v>
      </c>
      <c r="M309">
        <v>20537</v>
      </c>
      <c r="N309">
        <v>24326</v>
      </c>
      <c r="O309" s="6">
        <f>Table1[[#This Row],[Profit]]/Table1[[#This Row],[Sales_Amount]]</f>
        <v>0.54222856251253815</v>
      </c>
      <c r="P309" t="s">
        <v>52</v>
      </c>
    </row>
    <row r="310" spans="1:16" x14ac:dyDescent="0.35">
      <c r="A310" t="s">
        <v>893</v>
      </c>
      <c r="B310" t="s">
        <v>769</v>
      </c>
      <c r="C310" t="str">
        <f>TEXT(Table1[[#This Row],[Order_Date]],"mmm")</f>
        <v>Feb</v>
      </c>
      <c r="D310">
        <f>YEAR(Table1[[#This Row],[Order_Date]])</f>
        <v>2025</v>
      </c>
      <c r="E310" t="s">
        <v>111</v>
      </c>
      <c r="F310" t="s">
        <v>112</v>
      </c>
      <c r="G310" t="s">
        <v>70</v>
      </c>
      <c r="H310" t="s">
        <v>894</v>
      </c>
      <c r="I310" t="s">
        <v>87</v>
      </c>
      <c r="J310" t="s">
        <v>88</v>
      </c>
      <c r="K310">
        <v>16</v>
      </c>
      <c r="L310">
        <v>109635</v>
      </c>
      <c r="M310">
        <v>81209</v>
      </c>
      <c r="N310">
        <v>28426</v>
      </c>
      <c r="O310" s="6">
        <f>Table1[[#This Row],[Profit]]/Table1[[#This Row],[Sales_Amount]]</f>
        <v>0.25927851507274136</v>
      </c>
      <c r="P310" t="s">
        <v>121</v>
      </c>
    </row>
    <row r="311" spans="1:16" x14ac:dyDescent="0.35">
      <c r="A311" t="s">
        <v>895</v>
      </c>
      <c r="B311" t="s">
        <v>107</v>
      </c>
      <c r="C311" t="str">
        <f>TEXT(Table1[[#This Row],[Order_Date]],"mmm")</f>
        <v>Sep</v>
      </c>
      <c r="D311">
        <f>YEAR(Table1[[#This Row],[Order_Date]])</f>
        <v>2025</v>
      </c>
      <c r="E311" t="s">
        <v>46</v>
      </c>
      <c r="F311" t="s">
        <v>47</v>
      </c>
      <c r="G311" t="s">
        <v>70</v>
      </c>
      <c r="H311" t="s">
        <v>896</v>
      </c>
      <c r="I311" t="s">
        <v>125</v>
      </c>
      <c r="J311" t="s">
        <v>83</v>
      </c>
      <c r="K311">
        <v>18</v>
      </c>
      <c r="L311">
        <v>32033</v>
      </c>
      <c r="M311">
        <v>22163</v>
      </c>
      <c r="N311">
        <v>9870</v>
      </c>
      <c r="O311" s="6">
        <f>Table1[[#This Row],[Profit]]/Table1[[#This Row],[Sales_Amount]]</f>
        <v>0.30811975150625914</v>
      </c>
      <c r="P311" t="s">
        <v>60</v>
      </c>
    </row>
    <row r="312" spans="1:16" x14ac:dyDescent="0.35">
      <c r="A312" t="s">
        <v>897</v>
      </c>
      <c r="B312" t="s">
        <v>898</v>
      </c>
      <c r="C312" t="str">
        <f>TEXT(Table1[[#This Row],[Order_Date]],"mmm")</f>
        <v>Apr</v>
      </c>
      <c r="D312">
        <f>YEAR(Table1[[#This Row],[Order_Date]])</f>
        <v>2025</v>
      </c>
      <c r="E312" t="s">
        <v>63</v>
      </c>
      <c r="F312" t="s">
        <v>104</v>
      </c>
      <c r="G312" t="s">
        <v>80</v>
      </c>
      <c r="H312" t="s">
        <v>899</v>
      </c>
      <c r="I312" t="s">
        <v>50</v>
      </c>
      <c r="J312" t="s">
        <v>51</v>
      </c>
      <c r="K312">
        <v>7</v>
      </c>
      <c r="L312">
        <v>92117</v>
      </c>
      <c r="M312">
        <v>73840</v>
      </c>
      <c r="N312">
        <v>18277</v>
      </c>
      <c r="O312" s="6">
        <f>Table1[[#This Row],[Profit]]/Table1[[#This Row],[Sales_Amount]]</f>
        <v>0.19841071680580133</v>
      </c>
      <c r="P312" t="s">
        <v>98</v>
      </c>
    </row>
    <row r="313" spans="1:16" x14ac:dyDescent="0.35">
      <c r="A313" t="s">
        <v>900</v>
      </c>
      <c r="B313" t="s">
        <v>901</v>
      </c>
      <c r="C313" t="str">
        <f>TEXT(Table1[[#This Row],[Order_Date]],"mmm")</f>
        <v>Nov</v>
      </c>
      <c r="D313">
        <f>YEAR(Table1[[#This Row],[Order_Date]])</f>
        <v>2025</v>
      </c>
      <c r="E313" t="s">
        <v>111</v>
      </c>
      <c r="F313" t="s">
        <v>112</v>
      </c>
      <c r="G313" t="s">
        <v>116</v>
      </c>
      <c r="H313" t="s">
        <v>902</v>
      </c>
      <c r="I313" t="s">
        <v>50</v>
      </c>
      <c r="J313" t="s">
        <v>51</v>
      </c>
      <c r="K313">
        <v>12</v>
      </c>
      <c r="L313">
        <v>29399</v>
      </c>
      <c r="M313">
        <v>20899</v>
      </c>
      <c r="N313">
        <v>8500</v>
      </c>
      <c r="O313" s="6">
        <f>Table1[[#This Row],[Profit]]/Table1[[#This Row],[Sales_Amount]]</f>
        <v>0.28912548045851899</v>
      </c>
      <c r="P313" t="s">
        <v>52</v>
      </c>
    </row>
    <row r="314" spans="1:16" x14ac:dyDescent="0.35">
      <c r="A314" t="s">
        <v>903</v>
      </c>
      <c r="B314" t="s">
        <v>904</v>
      </c>
      <c r="C314" t="str">
        <f>TEXT(Table1[[#This Row],[Order_Date]],"mmm")</f>
        <v>Nov</v>
      </c>
      <c r="D314">
        <f>YEAR(Table1[[#This Row],[Order_Date]])</f>
        <v>2025</v>
      </c>
      <c r="E314" t="s">
        <v>46</v>
      </c>
      <c r="F314" t="s">
        <v>74</v>
      </c>
      <c r="G314" t="s">
        <v>57</v>
      </c>
      <c r="H314" t="s">
        <v>905</v>
      </c>
      <c r="I314" t="s">
        <v>125</v>
      </c>
      <c r="J314" t="s">
        <v>83</v>
      </c>
      <c r="K314">
        <v>5</v>
      </c>
      <c r="L314">
        <v>83930</v>
      </c>
      <c r="M314">
        <v>42301</v>
      </c>
      <c r="N314">
        <v>41629</v>
      </c>
      <c r="O314" s="6">
        <f>Table1[[#This Row],[Profit]]/Table1[[#This Row],[Sales_Amount]]</f>
        <v>0.49599666388657215</v>
      </c>
      <c r="P314" t="s">
        <v>52</v>
      </c>
    </row>
    <row r="315" spans="1:16" x14ac:dyDescent="0.35">
      <c r="A315" t="s">
        <v>906</v>
      </c>
      <c r="B315" t="s">
        <v>907</v>
      </c>
      <c r="C315" t="str">
        <f>TEXT(Table1[[#This Row],[Order_Date]],"mmm")</f>
        <v>May</v>
      </c>
      <c r="D315">
        <f>YEAR(Table1[[#This Row],[Order_Date]])</f>
        <v>2025</v>
      </c>
      <c r="E315" t="s">
        <v>63</v>
      </c>
      <c r="F315" t="s">
        <v>104</v>
      </c>
      <c r="G315" t="s">
        <v>128</v>
      </c>
      <c r="H315" t="s">
        <v>908</v>
      </c>
      <c r="I315" t="s">
        <v>76</v>
      </c>
      <c r="J315" t="s">
        <v>77</v>
      </c>
      <c r="K315">
        <v>9</v>
      </c>
      <c r="L315">
        <v>105519</v>
      </c>
      <c r="M315">
        <v>58907</v>
      </c>
      <c r="N315">
        <v>46612</v>
      </c>
      <c r="O315" s="6">
        <f>Table1[[#This Row],[Profit]]/Table1[[#This Row],[Sales_Amount]]</f>
        <v>0.44174035007913265</v>
      </c>
      <c r="P315" t="s">
        <v>98</v>
      </c>
    </row>
    <row r="316" spans="1:16" x14ac:dyDescent="0.35">
      <c r="A316" t="s">
        <v>909</v>
      </c>
      <c r="B316" t="s">
        <v>910</v>
      </c>
      <c r="C316" t="str">
        <f>TEXT(Table1[[#This Row],[Order_Date]],"mmm")</f>
        <v>May</v>
      </c>
      <c r="D316">
        <f>YEAR(Table1[[#This Row],[Order_Date]])</f>
        <v>2025</v>
      </c>
      <c r="E316" t="s">
        <v>46</v>
      </c>
      <c r="F316" t="s">
        <v>74</v>
      </c>
      <c r="G316" t="s">
        <v>57</v>
      </c>
      <c r="H316" t="s">
        <v>275</v>
      </c>
      <c r="I316" t="s">
        <v>82</v>
      </c>
      <c r="J316" t="s">
        <v>83</v>
      </c>
      <c r="K316">
        <v>11</v>
      </c>
      <c r="L316">
        <v>38738</v>
      </c>
      <c r="M316">
        <v>30200</v>
      </c>
      <c r="N316">
        <v>8538</v>
      </c>
      <c r="O316" s="6">
        <f>Table1[[#This Row],[Profit]]/Table1[[#This Row],[Sales_Amount]]</f>
        <v>0.22040373793174661</v>
      </c>
      <c r="P316" t="s">
        <v>121</v>
      </c>
    </row>
    <row r="317" spans="1:16" x14ac:dyDescent="0.35">
      <c r="A317" t="s">
        <v>911</v>
      </c>
      <c r="B317" t="s">
        <v>912</v>
      </c>
      <c r="C317" t="str">
        <f>TEXT(Table1[[#This Row],[Order_Date]],"mmm")</f>
        <v>Jul</v>
      </c>
      <c r="D317">
        <f>YEAR(Table1[[#This Row],[Order_Date]])</f>
        <v>2025</v>
      </c>
      <c r="E317" t="s">
        <v>111</v>
      </c>
      <c r="F317" t="s">
        <v>169</v>
      </c>
      <c r="G317" t="s">
        <v>138</v>
      </c>
      <c r="H317" t="s">
        <v>913</v>
      </c>
      <c r="I317" t="s">
        <v>67</v>
      </c>
      <c r="J317" t="s">
        <v>51</v>
      </c>
      <c r="K317">
        <v>13</v>
      </c>
      <c r="L317">
        <v>47634</v>
      </c>
      <c r="M317">
        <v>35156</v>
      </c>
      <c r="N317">
        <v>12478</v>
      </c>
      <c r="O317" s="6">
        <f>Table1[[#This Row],[Profit]]/Table1[[#This Row],[Sales_Amount]]</f>
        <v>0.26195574589578874</v>
      </c>
      <c r="P317" t="s">
        <v>121</v>
      </c>
    </row>
    <row r="318" spans="1:16" x14ac:dyDescent="0.35">
      <c r="A318" t="s">
        <v>914</v>
      </c>
      <c r="B318" t="s">
        <v>915</v>
      </c>
      <c r="C318" t="str">
        <f>TEXT(Table1[[#This Row],[Order_Date]],"mmm")</f>
        <v>Sep</v>
      </c>
      <c r="D318">
        <f>YEAR(Table1[[#This Row],[Order_Date]])</f>
        <v>2025</v>
      </c>
      <c r="E318" t="s">
        <v>111</v>
      </c>
      <c r="F318" t="s">
        <v>112</v>
      </c>
      <c r="G318" t="s">
        <v>48</v>
      </c>
      <c r="H318" t="s">
        <v>916</v>
      </c>
      <c r="I318" t="s">
        <v>82</v>
      </c>
      <c r="J318" t="s">
        <v>83</v>
      </c>
      <c r="K318">
        <v>10</v>
      </c>
      <c r="L318">
        <v>70069</v>
      </c>
      <c r="M318">
        <v>46864</v>
      </c>
      <c r="N318">
        <v>23205</v>
      </c>
      <c r="O318" s="6">
        <f>Table1[[#This Row],[Profit]]/Table1[[#This Row],[Sales_Amount]]</f>
        <v>0.331173557493328</v>
      </c>
      <c r="P318" t="s">
        <v>98</v>
      </c>
    </row>
    <row r="319" spans="1:16" x14ac:dyDescent="0.35">
      <c r="A319" t="s">
        <v>918</v>
      </c>
      <c r="B319" t="s">
        <v>217</v>
      </c>
      <c r="C319" t="str">
        <f>TEXT(Table1[[#This Row],[Order_Date]],"mmm")</f>
        <v>Aug</v>
      </c>
      <c r="D319">
        <f>YEAR(Table1[[#This Row],[Order_Date]])</f>
        <v>2025</v>
      </c>
      <c r="E319" t="s">
        <v>111</v>
      </c>
      <c r="F319" t="s">
        <v>112</v>
      </c>
      <c r="G319" t="s">
        <v>80</v>
      </c>
      <c r="H319" t="s">
        <v>919</v>
      </c>
      <c r="I319" t="s">
        <v>125</v>
      </c>
      <c r="J319" t="s">
        <v>83</v>
      </c>
      <c r="K319">
        <v>25</v>
      </c>
      <c r="L319">
        <v>14716</v>
      </c>
      <c r="M319">
        <v>9350</v>
      </c>
      <c r="N319">
        <v>5366</v>
      </c>
      <c r="O319" s="6">
        <f>Table1[[#This Row],[Profit]]/Table1[[#This Row],[Sales_Amount]]</f>
        <v>0.3646371296547975</v>
      </c>
      <c r="P319" t="s">
        <v>60</v>
      </c>
    </row>
    <row r="320" spans="1:16" x14ac:dyDescent="0.35">
      <c r="A320" t="s">
        <v>920</v>
      </c>
      <c r="B320" t="s">
        <v>736</v>
      </c>
      <c r="C320" t="str">
        <f>TEXT(Table1[[#This Row],[Order_Date]],"mmm")</f>
        <v>Jul</v>
      </c>
      <c r="D320">
        <f>YEAR(Table1[[#This Row],[Order_Date]])</f>
        <v>2025</v>
      </c>
      <c r="E320" t="s">
        <v>55</v>
      </c>
      <c r="F320" t="s">
        <v>188</v>
      </c>
      <c r="G320" t="s">
        <v>80</v>
      </c>
      <c r="H320" t="s">
        <v>921</v>
      </c>
      <c r="I320" t="s">
        <v>82</v>
      </c>
      <c r="J320" t="s">
        <v>83</v>
      </c>
      <c r="K320">
        <v>11</v>
      </c>
      <c r="L320">
        <v>45333</v>
      </c>
      <c r="M320">
        <v>31941</v>
      </c>
      <c r="N320">
        <v>13392</v>
      </c>
      <c r="O320" s="6">
        <f>Table1[[#This Row],[Profit]]/Table1[[#This Row],[Sales_Amount]]</f>
        <v>0.29541393686718287</v>
      </c>
      <c r="P320" t="s">
        <v>52</v>
      </c>
    </row>
    <row r="321" spans="1:16" x14ac:dyDescent="0.35">
      <c r="A321" t="s">
        <v>922</v>
      </c>
      <c r="B321" t="s">
        <v>923</v>
      </c>
      <c r="C321" t="str">
        <f>TEXT(Table1[[#This Row],[Order_Date]],"mmm")</f>
        <v>Feb</v>
      </c>
      <c r="D321">
        <f>YEAR(Table1[[#This Row],[Order_Date]])</f>
        <v>2025</v>
      </c>
      <c r="E321" t="s">
        <v>55</v>
      </c>
      <c r="F321" t="s">
        <v>56</v>
      </c>
      <c r="G321" t="s">
        <v>128</v>
      </c>
      <c r="H321" t="s">
        <v>924</v>
      </c>
      <c r="I321" t="s">
        <v>67</v>
      </c>
      <c r="J321" t="s">
        <v>51</v>
      </c>
      <c r="K321">
        <v>15</v>
      </c>
      <c r="L321">
        <v>40192</v>
      </c>
      <c r="M321">
        <v>26070</v>
      </c>
      <c r="N321">
        <v>14122</v>
      </c>
      <c r="O321" s="6">
        <f>Table1[[#This Row],[Profit]]/Table1[[#This Row],[Sales_Amount]]</f>
        <v>0.35136345541401276</v>
      </c>
      <c r="P321" t="s">
        <v>121</v>
      </c>
    </row>
    <row r="322" spans="1:16" x14ac:dyDescent="0.35">
      <c r="A322" t="s">
        <v>925</v>
      </c>
      <c r="B322" t="s">
        <v>926</v>
      </c>
      <c r="C322" t="str">
        <f>TEXT(Table1[[#This Row],[Order_Date]],"mmm")</f>
        <v>Nov</v>
      </c>
      <c r="D322">
        <f>YEAR(Table1[[#This Row],[Order_Date]])</f>
        <v>2025</v>
      </c>
      <c r="E322" t="s">
        <v>111</v>
      </c>
      <c r="F322" t="s">
        <v>112</v>
      </c>
      <c r="G322" t="s">
        <v>116</v>
      </c>
      <c r="H322" t="s">
        <v>927</v>
      </c>
      <c r="I322" t="s">
        <v>76</v>
      </c>
      <c r="J322" t="s">
        <v>77</v>
      </c>
      <c r="K322">
        <v>1</v>
      </c>
      <c r="L322">
        <v>72277</v>
      </c>
      <c r="M322">
        <v>48246</v>
      </c>
      <c r="N322">
        <v>24031</v>
      </c>
      <c r="O322" s="6">
        <f>Table1[[#This Row],[Profit]]/Table1[[#This Row],[Sales_Amount]]</f>
        <v>0.33248474618481677</v>
      </c>
      <c r="P322" t="s">
        <v>98</v>
      </c>
    </row>
    <row r="323" spans="1:16" x14ac:dyDescent="0.35">
      <c r="A323" t="s">
        <v>928</v>
      </c>
      <c r="B323" t="s">
        <v>246</v>
      </c>
      <c r="C323" t="str">
        <f>TEXT(Table1[[#This Row],[Order_Date]],"mmm")</f>
        <v>Nov</v>
      </c>
      <c r="D323">
        <f>YEAR(Table1[[#This Row],[Order_Date]])</f>
        <v>2025</v>
      </c>
      <c r="E323" t="s">
        <v>63</v>
      </c>
      <c r="F323" t="s">
        <v>104</v>
      </c>
      <c r="G323" t="s">
        <v>128</v>
      </c>
      <c r="H323" t="s">
        <v>929</v>
      </c>
      <c r="I323" t="s">
        <v>82</v>
      </c>
      <c r="J323" t="s">
        <v>83</v>
      </c>
      <c r="K323">
        <v>21</v>
      </c>
      <c r="L323">
        <v>115581</v>
      </c>
      <c r="M323">
        <v>97476</v>
      </c>
      <c r="N323">
        <v>18105</v>
      </c>
      <c r="O323" s="6">
        <f>Table1[[#This Row],[Profit]]/Table1[[#This Row],[Sales_Amount]]</f>
        <v>0.15664339294520727</v>
      </c>
      <c r="P323" t="s">
        <v>98</v>
      </c>
    </row>
    <row r="324" spans="1:16" x14ac:dyDescent="0.35">
      <c r="A324" t="s">
        <v>930</v>
      </c>
      <c r="B324" t="s">
        <v>931</v>
      </c>
      <c r="C324" t="str">
        <f>TEXT(Table1[[#This Row],[Order_Date]],"mmm")</f>
        <v>Oct</v>
      </c>
      <c r="D324">
        <f>YEAR(Table1[[#This Row],[Order_Date]])</f>
        <v>2025</v>
      </c>
      <c r="E324" t="s">
        <v>46</v>
      </c>
      <c r="F324" t="s">
        <v>47</v>
      </c>
      <c r="G324" t="s">
        <v>65</v>
      </c>
      <c r="H324" t="s">
        <v>932</v>
      </c>
      <c r="I324" t="s">
        <v>59</v>
      </c>
      <c r="J324" t="s">
        <v>51</v>
      </c>
      <c r="K324">
        <v>24</v>
      </c>
      <c r="L324">
        <v>62569</v>
      </c>
      <c r="M324">
        <v>42169</v>
      </c>
      <c r="N324">
        <v>20400</v>
      </c>
      <c r="O324" s="6">
        <f>Table1[[#This Row],[Profit]]/Table1[[#This Row],[Sales_Amount]]</f>
        <v>0.32604005178283174</v>
      </c>
      <c r="P324" t="s">
        <v>98</v>
      </c>
    </row>
    <row r="325" spans="1:16" x14ac:dyDescent="0.35">
      <c r="A325" t="s">
        <v>933</v>
      </c>
      <c r="B325" t="s">
        <v>934</v>
      </c>
      <c r="C325" t="str">
        <f>TEXT(Table1[[#This Row],[Order_Date]],"mmm")</f>
        <v>Apr</v>
      </c>
      <c r="D325">
        <f>YEAR(Table1[[#This Row],[Order_Date]])</f>
        <v>2025</v>
      </c>
      <c r="E325" t="s">
        <v>111</v>
      </c>
      <c r="F325" t="s">
        <v>112</v>
      </c>
      <c r="G325" t="s">
        <v>116</v>
      </c>
      <c r="H325" t="s">
        <v>935</v>
      </c>
      <c r="I325" t="s">
        <v>87</v>
      </c>
      <c r="J325" t="s">
        <v>88</v>
      </c>
      <c r="K325">
        <v>22</v>
      </c>
      <c r="L325">
        <v>90820</v>
      </c>
      <c r="M325">
        <v>55694</v>
      </c>
      <c r="N325">
        <v>35126</v>
      </c>
      <c r="O325" s="6">
        <f>Table1[[#This Row],[Profit]]/Table1[[#This Row],[Sales_Amount]]</f>
        <v>0.38676502972913457</v>
      </c>
      <c r="P325" t="s">
        <v>121</v>
      </c>
    </row>
    <row r="326" spans="1:16" x14ac:dyDescent="0.35">
      <c r="A326" t="s">
        <v>936</v>
      </c>
      <c r="B326" t="s">
        <v>937</v>
      </c>
      <c r="C326" t="str">
        <f>TEXT(Table1[[#This Row],[Order_Date]],"mmm")</f>
        <v>Oct</v>
      </c>
      <c r="D326">
        <f>YEAR(Table1[[#This Row],[Order_Date]])</f>
        <v>2025</v>
      </c>
      <c r="E326" t="s">
        <v>63</v>
      </c>
      <c r="F326" t="s">
        <v>104</v>
      </c>
      <c r="G326" t="s">
        <v>48</v>
      </c>
      <c r="H326" t="s">
        <v>938</v>
      </c>
      <c r="I326" t="s">
        <v>82</v>
      </c>
      <c r="J326" t="s">
        <v>83</v>
      </c>
      <c r="K326">
        <v>9</v>
      </c>
      <c r="L326">
        <v>10063</v>
      </c>
      <c r="M326">
        <v>5913</v>
      </c>
      <c r="N326">
        <v>4150</v>
      </c>
      <c r="O326" s="6">
        <f>Table1[[#This Row],[Profit]]/Table1[[#This Row],[Sales_Amount]]</f>
        <v>0.41240186823015007</v>
      </c>
      <c r="P326" t="s">
        <v>98</v>
      </c>
    </row>
    <row r="327" spans="1:16" x14ac:dyDescent="0.35">
      <c r="A327" t="s">
        <v>939</v>
      </c>
      <c r="B327" t="s">
        <v>485</v>
      </c>
      <c r="C327" t="str">
        <f>TEXT(Table1[[#This Row],[Order_Date]],"mmm")</f>
        <v>May</v>
      </c>
      <c r="D327">
        <f>YEAR(Table1[[#This Row],[Order_Date]])</f>
        <v>2025</v>
      </c>
      <c r="E327" t="s">
        <v>111</v>
      </c>
      <c r="F327" t="s">
        <v>112</v>
      </c>
      <c r="G327" t="s">
        <v>138</v>
      </c>
      <c r="H327" t="s">
        <v>940</v>
      </c>
      <c r="I327" t="s">
        <v>50</v>
      </c>
      <c r="J327" t="s">
        <v>51</v>
      </c>
      <c r="K327">
        <v>17</v>
      </c>
      <c r="L327">
        <v>15216</v>
      </c>
      <c r="M327">
        <v>7297</v>
      </c>
      <c r="N327">
        <v>7919</v>
      </c>
      <c r="O327" s="6">
        <f>Table1[[#This Row],[Profit]]/Table1[[#This Row],[Sales_Amount]]</f>
        <v>0.52043901156677186</v>
      </c>
      <c r="P327" t="s">
        <v>121</v>
      </c>
    </row>
    <row r="328" spans="1:16" x14ac:dyDescent="0.35">
      <c r="A328" t="s">
        <v>941</v>
      </c>
      <c r="B328" t="s">
        <v>942</v>
      </c>
      <c r="C328" t="str">
        <f>TEXT(Table1[[#This Row],[Order_Date]],"mmm")</f>
        <v>Jul</v>
      </c>
      <c r="D328">
        <f>YEAR(Table1[[#This Row],[Order_Date]])</f>
        <v>2025</v>
      </c>
      <c r="E328" t="s">
        <v>55</v>
      </c>
      <c r="F328" t="s">
        <v>56</v>
      </c>
      <c r="G328" t="s">
        <v>128</v>
      </c>
      <c r="H328" t="s">
        <v>943</v>
      </c>
      <c r="I328" t="s">
        <v>67</v>
      </c>
      <c r="J328" t="s">
        <v>51</v>
      </c>
      <c r="K328">
        <v>1</v>
      </c>
      <c r="L328">
        <v>46548</v>
      </c>
      <c r="M328">
        <v>36336</v>
      </c>
      <c r="N328">
        <v>10212</v>
      </c>
      <c r="O328" s="6">
        <f>Table1[[#This Row],[Profit]]/Table1[[#This Row],[Sales_Amount]]</f>
        <v>0.21938643980407321</v>
      </c>
      <c r="P328" t="s">
        <v>52</v>
      </c>
    </row>
    <row r="329" spans="1:16" x14ac:dyDescent="0.35">
      <c r="A329" t="s">
        <v>944</v>
      </c>
      <c r="B329" t="s">
        <v>412</v>
      </c>
      <c r="C329" t="str">
        <f>TEXT(Table1[[#This Row],[Order_Date]],"mmm")</f>
        <v>May</v>
      </c>
      <c r="D329">
        <f>YEAR(Table1[[#This Row],[Order_Date]])</f>
        <v>2025</v>
      </c>
      <c r="E329" t="s">
        <v>111</v>
      </c>
      <c r="F329" t="s">
        <v>112</v>
      </c>
      <c r="G329" t="s">
        <v>65</v>
      </c>
      <c r="H329" t="s">
        <v>945</v>
      </c>
      <c r="I329" t="s">
        <v>125</v>
      </c>
      <c r="J329" t="s">
        <v>83</v>
      </c>
      <c r="K329">
        <v>19</v>
      </c>
      <c r="L329">
        <v>57870</v>
      </c>
      <c r="M329">
        <v>28086</v>
      </c>
      <c r="N329">
        <v>29784</v>
      </c>
      <c r="O329" s="6">
        <f>Table1[[#This Row],[Profit]]/Table1[[#This Row],[Sales_Amount]]</f>
        <v>0.5146708138932089</v>
      </c>
      <c r="P329" t="s">
        <v>121</v>
      </c>
    </row>
    <row r="330" spans="1:16" x14ac:dyDescent="0.35">
      <c r="A330" t="s">
        <v>946</v>
      </c>
      <c r="B330" t="s">
        <v>321</v>
      </c>
      <c r="C330" t="str">
        <f>TEXT(Table1[[#This Row],[Order_Date]],"mmm")</f>
        <v>Dec</v>
      </c>
      <c r="D330">
        <f>YEAR(Table1[[#This Row],[Order_Date]])</f>
        <v>2025</v>
      </c>
      <c r="E330" t="s">
        <v>46</v>
      </c>
      <c r="F330" t="s">
        <v>47</v>
      </c>
      <c r="G330" t="s">
        <v>70</v>
      </c>
      <c r="H330" t="s">
        <v>947</v>
      </c>
      <c r="I330" t="s">
        <v>125</v>
      </c>
      <c r="J330" t="s">
        <v>83</v>
      </c>
      <c r="K330">
        <v>23</v>
      </c>
      <c r="L330">
        <v>95729</v>
      </c>
      <c r="M330">
        <v>80782</v>
      </c>
      <c r="N330">
        <v>14947</v>
      </c>
      <c r="O330" s="6">
        <f>Table1[[#This Row],[Profit]]/Table1[[#This Row],[Sales_Amount]]</f>
        <v>0.15613868315766383</v>
      </c>
      <c r="P330" t="s">
        <v>98</v>
      </c>
    </row>
    <row r="331" spans="1:16" x14ac:dyDescent="0.35">
      <c r="A331" t="s">
        <v>948</v>
      </c>
      <c r="B331" t="s">
        <v>449</v>
      </c>
      <c r="C331" t="str">
        <f>TEXT(Table1[[#This Row],[Order_Date]],"mmm")</f>
        <v>Jan</v>
      </c>
      <c r="D331">
        <f>YEAR(Table1[[#This Row],[Order_Date]])</f>
        <v>2025</v>
      </c>
      <c r="E331" t="s">
        <v>55</v>
      </c>
      <c r="F331" t="s">
        <v>56</v>
      </c>
      <c r="G331" t="s">
        <v>57</v>
      </c>
      <c r="H331" t="s">
        <v>949</v>
      </c>
      <c r="I331" t="s">
        <v>87</v>
      </c>
      <c r="J331" t="s">
        <v>88</v>
      </c>
      <c r="K331">
        <v>21</v>
      </c>
      <c r="L331">
        <v>30634</v>
      </c>
      <c r="M331">
        <v>21626</v>
      </c>
      <c r="N331">
        <v>9008</v>
      </c>
      <c r="O331" s="6">
        <f>Table1[[#This Row],[Profit]]/Table1[[#This Row],[Sales_Amount]]</f>
        <v>0.29405236012273944</v>
      </c>
      <c r="P331" t="s">
        <v>98</v>
      </c>
    </row>
    <row r="332" spans="1:16" x14ac:dyDescent="0.35">
      <c r="A332" t="s">
        <v>950</v>
      </c>
      <c r="B332" t="s">
        <v>951</v>
      </c>
      <c r="C332" t="str">
        <f>TEXT(Table1[[#This Row],[Order_Date]],"mmm")</f>
        <v>Nov</v>
      </c>
      <c r="D332">
        <f>YEAR(Table1[[#This Row],[Order_Date]])</f>
        <v>2025</v>
      </c>
      <c r="E332" t="s">
        <v>55</v>
      </c>
      <c r="F332" t="s">
        <v>188</v>
      </c>
      <c r="G332" t="s">
        <v>138</v>
      </c>
      <c r="H332" t="s">
        <v>952</v>
      </c>
      <c r="I332" t="s">
        <v>67</v>
      </c>
      <c r="J332" t="s">
        <v>51</v>
      </c>
      <c r="K332">
        <v>24</v>
      </c>
      <c r="L332">
        <v>99637</v>
      </c>
      <c r="M332">
        <v>66118</v>
      </c>
      <c r="N332">
        <v>33519</v>
      </c>
      <c r="O332" s="6">
        <f>Table1[[#This Row],[Profit]]/Table1[[#This Row],[Sales_Amount]]</f>
        <v>0.33641117255637965</v>
      </c>
      <c r="P332" t="s">
        <v>98</v>
      </c>
    </row>
    <row r="333" spans="1:16" x14ac:dyDescent="0.35">
      <c r="A333" t="s">
        <v>953</v>
      </c>
      <c r="B333" t="s">
        <v>708</v>
      </c>
      <c r="C333" t="str">
        <f>TEXT(Table1[[#This Row],[Order_Date]],"mmm")</f>
        <v>Dec</v>
      </c>
      <c r="D333">
        <f>YEAR(Table1[[#This Row],[Order_Date]])</f>
        <v>2025</v>
      </c>
      <c r="E333" t="s">
        <v>111</v>
      </c>
      <c r="F333" t="s">
        <v>112</v>
      </c>
      <c r="G333" t="s">
        <v>128</v>
      </c>
      <c r="H333" t="s">
        <v>954</v>
      </c>
      <c r="I333" t="s">
        <v>156</v>
      </c>
      <c r="J333" t="s">
        <v>157</v>
      </c>
      <c r="K333">
        <v>13</v>
      </c>
      <c r="L333">
        <v>28431</v>
      </c>
      <c r="M333">
        <v>14875</v>
      </c>
      <c r="N333">
        <v>13556</v>
      </c>
      <c r="O333" s="6">
        <f>Table1[[#This Row],[Profit]]/Table1[[#This Row],[Sales_Amount]]</f>
        <v>0.47680348914916815</v>
      </c>
      <c r="P333" t="s">
        <v>98</v>
      </c>
    </row>
    <row r="334" spans="1:16" x14ac:dyDescent="0.35">
      <c r="A334" t="s">
        <v>955</v>
      </c>
      <c r="B334" t="s">
        <v>182</v>
      </c>
      <c r="C334" t="str">
        <f>TEXT(Table1[[#This Row],[Order_Date]],"mmm")</f>
        <v>Nov</v>
      </c>
      <c r="D334">
        <f>YEAR(Table1[[#This Row],[Order_Date]])</f>
        <v>2025</v>
      </c>
      <c r="E334" t="s">
        <v>55</v>
      </c>
      <c r="F334" t="s">
        <v>188</v>
      </c>
      <c r="G334" t="s">
        <v>48</v>
      </c>
      <c r="H334" t="s">
        <v>956</v>
      </c>
      <c r="I334" t="s">
        <v>87</v>
      </c>
      <c r="J334" t="s">
        <v>88</v>
      </c>
      <c r="K334">
        <v>17</v>
      </c>
      <c r="L334">
        <v>3902</v>
      </c>
      <c r="M334">
        <v>2985</v>
      </c>
      <c r="N334">
        <v>917</v>
      </c>
      <c r="O334" s="6">
        <f>Table1[[#This Row],[Profit]]/Table1[[#This Row],[Sales_Amount]]</f>
        <v>0.23500768836494107</v>
      </c>
      <c r="P334" t="s">
        <v>60</v>
      </c>
    </row>
    <row r="335" spans="1:16" x14ac:dyDescent="0.35">
      <c r="A335" t="s">
        <v>957</v>
      </c>
      <c r="B335" t="s">
        <v>746</v>
      </c>
      <c r="C335" t="str">
        <f>TEXT(Table1[[#This Row],[Order_Date]],"mmm")</f>
        <v>Sep</v>
      </c>
      <c r="D335">
        <f>YEAR(Table1[[#This Row],[Order_Date]])</f>
        <v>2025</v>
      </c>
      <c r="E335" t="s">
        <v>63</v>
      </c>
      <c r="F335" t="s">
        <v>104</v>
      </c>
      <c r="G335" t="s">
        <v>70</v>
      </c>
      <c r="H335" t="s">
        <v>958</v>
      </c>
      <c r="I335" t="s">
        <v>59</v>
      </c>
      <c r="J335" t="s">
        <v>51</v>
      </c>
      <c r="K335">
        <v>11</v>
      </c>
      <c r="L335">
        <v>73918</v>
      </c>
      <c r="M335">
        <v>38698</v>
      </c>
      <c r="N335">
        <v>35220</v>
      </c>
      <c r="O335" s="6">
        <f>Table1[[#This Row],[Profit]]/Table1[[#This Row],[Sales_Amount]]</f>
        <v>0.47647393057171461</v>
      </c>
      <c r="P335" t="s">
        <v>60</v>
      </c>
    </row>
    <row r="336" spans="1:16" x14ac:dyDescent="0.35">
      <c r="A336" t="s">
        <v>959</v>
      </c>
      <c r="B336" t="s">
        <v>960</v>
      </c>
      <c r="C336" t="str">
        <f>TEXT(Table1[[#This Row],[Order_Date]],"mmm")</f>
        <v>Jan</v>
      </c>
      <c r="D336">
        <f>YEAR(Table1[[#This Row],[Order_Date]])</f>
        <v>2025</v>
      </c>
      <c r="E336" t="s">
        <v>46</v>
      </c>
      <c r="F336" t="s">
        <v>47</v>
      </c>
      <c r="G336" t="s">
        <v>48</v>
      </c>
      <c r="H336" t="s">
        <v>961</v>
      </c>
      <c r="I336" t="s">
        <v>156</v>
      </c>
      <c r="J336" t="s">
        <v>157</v>
      </c>
      <c r="K336">
        <v>2</v>
      </c>
      <c r="L336">
        <v>25961</v>
      </c>
      <c r="M336">
        <v>13518</v>
      </c>
      <c r="N336">
        <v>12443</v>
      </c>
      <c r="O336" s="6">
        <f>Table1[[#This Row],[Profit]]/Table1[[#This Row],[Sales_Amount]]</f>
        <v>0.47929586687723896</v>
      </c>
      <c r="P336" t="s">
        <v>52</v>
      </c>
    </row>
    <row r="337" spans="1:16" x14ac:dyDescent="0.35">
      <c r="A337" t="s">
        <v>962</v>
      </c>
      <c r="B337" t="s">
        <v>485</v>
      </c>
      <c r="C337" t="str">
        <f>TEXT(Table1[[#This Row],[Order_Date]],"mmm")</f>
        <v>May</v>
      </c>
      <c r="D337">
        <f>YEAR(Table1[[#This Row],[Order_Date]])</f>
        <v>2025</v>
      </c>
      <c r="E337" t="s">
        <v>111</v>
      </c>
      <c r="F337" t="s">
        <v>169</v>
      </c>
      <c r="G337" t="s">
        <v>65</v>
      </c>
      <c r="H337" t="s">
        <v>963</v>
      </c>
      <c r="I337" t="s">
        <v>125</v>
      </c>
      <c r="J337" t="s">
        <v>83</v>
      </c>
      <c r="K337">
        <v>21</v>
      </c>
      <c r="L337">
        <v>97684</v>
      </c>
      <c r="M337">
        <v>55508</v>
      </c>
      <c r="N337">
        <v>42176</v>
      </c>
      <c r="O337" s="6">
        <f>Table1[[#This Row],[Profit]]/Table1[[#This Row],[Sales_Amount]]</f>
        <v>0.43175955120592935</v>
      </c>
      <c r="P337" t="s">
        <v>121</v>
      </c>
    </row>
    <row r="338" spans="1:16" x14ac:dyDescent="0.35">
      <c r="A338" t="s">
        <v>964</v>
      </c>
      <c r="B338" t="s">
        <v>69</v>
      </c>
      <c r="C338" t="str">
        <f>TEXT(Table1[[#This Row],[Order_Date]],"mmm")</f>
        <v>Feb</v>
      </c>
      <c r="D338">
        <f>YEAR(Table1[[#This Row],[Order_Date]])</f>
        <v>2025</v>
      </c>
      <c r="E338" t="s">
        <v>55</v>
      </c>
      <c r="F338" t="s">
        <v>188</v>
      </c>
      <c r="G338" t="s">
        <v>116</v>
      </c>
      <c r="H338" t="s">
        <v>965</v>
      </c>
      <c r="I338" t="s">
        <v>76</v>
      </c>
      <c r="J338" t="s">
        <v>77</v>
      </c>
      <c r="K338">
        <v>25</v>
      </c>
      <c r="L338">
        <v>67771</v>
      </c>
      <c r="M338">
        <v>52295</v>
      </c>
      <c r="N338">
        <v>15476</v>
      </c>
      <c r="O338" s="6">
        <f>Table1[[#This Row],[Profit]]/Table1[[#This Row],[Sales_Amount]]</f>
        <v>0.22835726195570377</v>
      </c>
      <c r="P338" t="s">
        <v>52</v>
      </c>
    </row>
    <row r="339" spans="1:16" x14ac:dyDescent="0.35">
      <c r="A339" t="s">
        <v>966</v>
      </c>
      <c r="B339" t="s">
        <v>200</v>
      </c>
      <c r="C339" t="str">
        <f>TEXT(Table1[[#This Row],[Order_Date]],"mmm")</f>
        <v>Nov</v>
      </c>
      <c r="D339">
        <f>YEAR(Table1[[#This Row],[Order_Date]])</f>
        <v>2025</v>
      </c>
      <c r="E339" t="s">
        <v>63</v>
      </c>
      <c r="F339" t="s">
        <v>64</v>
      </c>
      <c r="G339" t="s">
        <v>138</v>
      </c>
      <c r="H339" t="s">
        <v>967</v>
      </c>
      <c r="I339" t="s">
        <v>143</v>
      </c>
      <c r="J339" t="s">
        <v>51</v>
      </c>
      <c r="K339">
        <v>10</v>
      </c>
      <c r="L339">
        <v>11756</v>
      </c>
      <c r="M339">
        <v>9931</v>
      </c>
      <c r="N339">
        <v>1825</v>
      </c>
      <c r="O339" s="6">
        <f>Table1[[#This Row],[Profit]]/Table1[[#This Row],[Sales_Amount]]</f>
        <v>0.15523987750935692</v>
      </c>
      <c r="P339" t="s">
        <v>60</v>
      </c>
    </row>
    <row r="340" spans="1:16" x14ac:dyDescent="0.35">
      <c r="A340" t="s">
        <v>968</v>
      </c>
      <c r="B340" t="s">
        <v>497</v>
      </c>
      <c r="C340" t="str">
        <f>TEXT(Table1[[#This Row],[Order_Date]],"mmm")</f>
        <v>Mar</v>
      </c>
      <c r="D340">
        <f>YEAR(Table1[[#This Row],[Order_Date]])</f>
        <v>2025</v>
      </c>
      <c r="E340" t="s">
        <v>46</v>
      </c>
      <c r="F340" t="s">
        <v>74</v>
      </c>
      <c r="G340" t="s">
        <v>57</v>
      </c>
      <c r="H340" t="s">
        <v>969</v>
      </c>
      <c r="I340" t="s">
        <v>82</v>
      </c>
      <c r="J340" t="s">
        <v>83</v>
      </c>
      <c r="K340">
        <v>20</v>
      </c>
      <c r="L340">
        <v>45839</v>
      </c>
      <c r="M340">
        <v>28465</v>
      </c>
      <c r="N340">
        <v>17374</v>
      </c>
      <c r="O340" s="6">
        <f>Table1[[#This Row],[Profit]]/Table1[[#This Row],[Sales_Amount]]</f>
        <v>0.379022229978839</v>
      </c>
      <c r="P340" t="s">
        <v>98</v>
      </c>
    </row>
    <row r="341" spans="1:16" x14ac:dyDescent="0.35">
      <c r="A341" t="s">
        <v>970</v>
      </c>
      <c r="B341" t="s">
        <v>843</v>
      </c>
      <c r="C341" t="str">
        <f>TEXT(Table1[[#This Row],[Order_Date]],"mmm")</f>
        <v>Mar</v>
      </c>
      <c r="D341">
        <f>YEAR(Table1[[#This Row],[Order_Date]])</f>
        <v>2025</v>
      </c>
      <c r="E341" t="s">
        <v>63</v>
      </c>
      <c r="F341" t="s">
        <v>104</v>
      </c>
      <c r="G341" t="s">
        <v>48</v>
      </c>
      <c r="H341" t="s">
        <v>971</v>
      </c>
      <c r="I341" t="s">
        <v>76</v>
      </c>
      <c r="J341" t="s">
        <v>77</v>
      </c>
      <c r="K341">
        <v>8</v>
      </c>
      <c r="L341">
        <v>5122</v>
      </c>
      <c r="M341">
        <v>3536</v>
      </c>
      <c r="N341">
        <v>1586</v>
      </c>
      <c r="O341" s="6">
        <f>Table1[[#This Row],[Profit]]/Table1[[#This Row],[Sales_Amount]]</f>
        <v>0.30964467005076141</v>
      </c>
      <c r="P341" t="s">
        <v>60</v>
      </c>
    </row>
    <row r="342" spans="1:16" x14ac:dyDescent="0.35">
      <c r="A342" t="s">
        <v>972</v>
      </c>
      <c r="B342" t="s">
        <v>580</v>
      </c>
      <c r="C342" t="str">
        <f>TEXT(Table1[[#This Row],[Order_Date]],"mmm")</f>
        <v>Mar</v>
      </c>
      <c r="D342">
        <f>YEAR(Table1[[#This Row],[Order_Date]])</f>
        <v>2025</v>
      </c>
      <c r="E342" t="s">
        <v>111</v>
      </c>
      <c r="F342" t="s">
        <v>112</v>
      </c>
      <c r="G342" t="s">
        <v>116</v>
      </c>
      <c r="H342" t="s">
        <v>973</v>
      </c>
      <c r="I342" t="s">
        <v>125</v>
      </c>
      <c r="J342" t="s">
        <v>83</v>
      </c>
      <c r="K342">
        <v>16</v>
      </c>
      <c r="L342">
        <v>116766</v>
      </c>
      <c r="M342">
        <v>85715</v>
      </c>
      <c r="N342">
        <v>31051</v>
      </c>
      <c r="O342" s="6">
        <f>Table1[[#This Row],[Profit]]/Table1[[#This Row],[Sales_Amount]]</f>
        <v>0.26592501241799837</v>
      </c>
      <c r="P342" t="s">
        <v>52</v>
      </c>
    </row>
    <row r="343" spans="1:16" x14ac:dyDescent="0.35">
      <c r="A343" t="s">
        <v>974</v>
      </c>
      <c r="B343" t="s">
        <v>975</v>
      </c>
      <c r="C343" t="str">
        <f>TEXT(Table1[[#This Row],[Order_Date]],"mmm")</f>
        <v>Aug</v>
      </c>
      <c r="D343">
        <f>YEAR(Table1[[#This Row],[Order_Date]])</f>
        <v>2025</v>
      </c>
      <c r="E343" t="s">
        <v>46</v>
      </c>
      <c r="F343" t="s">
        <v>47</v>
      </c>
      <c r="G343" t="s">
        <v>65</v>
      </c>
      <c r="H343" t="s">
        <v>976</v>
      </c>
      <c r="I343" t="s">
        <v>82</v>
      </c>
      <c r="J343" t="s">
        <v>83</v>
      </c>
      <c r="K343">
        <v>15</v>
      </c>
      <c r="L343">
        <v>49711</v>
      </c>
      <c r="M343">
        <v>23228</v>
      </c>
      <c r="N343">
        <v>26483</v>
      </c>
      <c r="O343" s="6">
        <f>Table1[[#This Row],[Profit]]/Table1[[#This Row],[Sales_Amount]]</f>
        <v>0.53273923276538393</v>
      </c>
      <c r="P343" t="s">
        <v>121</v>
      </c>
    </row>
    <row r="344" spans="1:16" x14ac:dyDescent="0.35">
      <c r="A344" t="s">
        <v>977</v>
      </c>
      <c r="B344" t="s">
        <v>901</v>
      </c>
      <c r="C344" t="str">
        <f>TEXT(Table1[[#This Row],[Order_Date]],"mmm")</f>
        <v>Nov</v>
      </c>
      <c r="D344">
        <f>YEAR(Table1[[#This Row],[Order_Date]])</f>
        <v>2025</v>
      </c>
      <c r="E344" t="s">
        <v>46</v>
      </c>
      <c r="F344" t="s">
        <v>47</v>
      </c>
      <c r="G344" t="s">
        <v>65</v>
      </c>
      <c r="H344" t="s">
        <v>978</v>
      </c>
      <c r="I344" t="s">
        <v>59</v>
      </c>
      <c r="J344" t="s">
        <v>51</v>
      </c>
      <c r="K344">
        <v>11</v>
      </c>
      <c r="L344">
        <v>48116</v>
      </c>
      <c r="M344">
        <v>37435</v>
      </c>
      <c r="N344">
        <v>10681</v>
      </c>
      <c r="O344" s="6">
        <f>Table1[[#This Row],[Profit]]/Table1[[#This Row],[Sales_Amount]]</f>
        <v>0.22198437110316735</v>
      </c>
      <c r="P344" t="s">
        <v>98</v>
      </c>
    </row>
    <row r="345" spans="1:16" x14ac:dyDescent="0.35">
      <c r="A345" t="s">
        <v>979</v>
      </c>
      <c r="B345" t="s">
        <v>980</v>
      </c>
      <c r="C345" t="str">
        <f>TEXT(Table1[[#This Row],[Order_Date]],"mmm")</f>
        <v>Apr</v>
      </c>
      <c r="D345">
        <f>YEAR(Table1[[#This Row],[Order_Date]])</f>
        <v>2025</v>
      </c>
      <c r="E345" t="s">
        <v>111</v>
      </c>
      <c r="F345" t="s">
        <v>169</v>
      </c>
      <c r="G345" t="s">
        <v>57</v>
      </c>
      <c r="H345" t="s">
        <v>981</v>
      </c>
      <c r="I345" t="s">
        <v>50</v>
      </c>
      <c r="J345" t="s">
        <v>51</v>
      </c>
      <c r="K345">
        <v>2</v>
      </c>
      <c r="L345">
        <v>87800</v>
      </c>
      <c r="M345">
        <v>58941</v>
      </c>
      <c r="N345">
        <v>28859</v>
      </c>
      <c r="O345" s="6">
        <f>Table1[[#This Row],[Profit]]/Table1[[#This Row],[Sales_Amount]]</f>
        <v>0.32869020501138951</v>
      </c>
      <c r="P345" t="s">
        <v>52</v>
      </c>
    </row>
    <row r="346" spans="1:16" x14ac:dyDescent="0.35">
      <c r="A346" t="s">
        <v>982</v>
      </c>
      <c r="B346" t="s">
        <v>711</v>
      </c>
      <c r="C346" t="str">
        <f>TEXT(Table1[[#This Row],[Order_Date]],"mmm")</f>
        <v>Sep</v>
      </c>
      <c r="D346">
        <f>YEAR(Table1[[#This Row],[Order_Date]])</f>
        <v>2025</v>
      </c>
      <c r="E346" t="s">
        <v>46</v>
      </c>
      <c r="F346" t="s">
        <v>74</v>
      </c>
      <c r="G346" t="s">
        <v>57</v>
      </c>
      <c r="H346" t="s">
        <v>983</v>
      </c>
      <c r="I346" t="s">
        <v>125</v>
      </c>
      <c r="J346" t="s">
        <v>83</v>
      </c>
      <c r="K346">
        <v>2</v>
      </c>
      <c r="L346">
        <v>14529</v>
      </c>
      <c r="M346">
        <v>8275</v>
      </c>
      <c r="N346">
        <v>6254</v>
      </c>
      <c r="O346" s="6">
        <f>Table1[[#This Row],[Profit]]/Table1[[#This Row],[Sales_Amount]]</f>
        <v>0.43044944593571477</v>
      </c>
      <c r="P346" t="s">
        <v>60</v>
      </c>
    </row>
    <row r="347" spans="1:16" x14ac:dyDescent="0.35">
      <c r="A347" t="s">
        <v>984</v>
      </c>
      <c r="B347" t="s">
        <v>985</v>
      </c>
      <c r="C347" t="str">
        <f>TEXT(Table1[[#This Row],[Order_Date]],"mmm")</f>
        <v>Apr</v>
      </c>
      <c r="D347">
        <f>YEAR(Table1[[#This Row],[Order_Date]])</f>
        <v>2025</v>
      </c>
      <c r="E347" t="s">
        <v>63</v>
      </c>
      <c r="F347" t="s">
        <v>64</v>
      </c>
      <c r="G347" t="s">
        <v>65</v>
      </c>
      <c r="H347" t="s">
        <v>986</v>
      </c>
      <c r="I347" t="s">
        <v>87</v>
      </c>
      <c r="J347" t="s">
        <v>88</v>
      </c>
      <c r="K347">
        <v>14</v>
      </c>
      <c r="L347">
        <v>110581</v>
      </c>
      <c r="M347">
        <v>80095</v>
      </c>
      <c r="N347">
        <v>30486</v>
      </c>
      <c r="O347" s="6">
        <f>Table1[[#This Row],[Profit]]/Table1[[#This Row],[Sales_Amount]]</f>
        <v>0.27568931371573779</v>
      </c>
      <c r="P347" t="s">
        <v>98</v>
      </c>
    </row>
    <row r="348" spans="1:16" x14ac:dyDescent="0.35">
      <c r="A348" t="s">
        <v>987</v>
      </c>
      <c r="B348" t="s">
        <v>937</v>
      </c>
      <c r="C348" t="str">
        <f>TEXT(Table1[[#This Row],[Order_Date]],"mmm")</f>
        <v>Oct</v>
      </c>
      <c r="D348">
        <f>YEAR(Table1[[#This Row],[Order_Date]])</f>
        <v>2025</v>
      </c>
      <c r="E348" t="s">
        <v>46</v>
      </c>
      <c r="F348" t="s">
        <v>74</v>
      </c>
      <c r="G348" t="s">
        <v>70</v>
      </c>
      <c r="H348" t="s">
        <v>988</v>
      </c>
      <c r="I348" t="s">
        <v>59</v>
      </c>
      <c r="J348" t="s">
        <v>51</v>
      </c>
      <c r="K348">
        <v>3</v>
      </c>
      <c r="L348">
        <v>104076</v>
      </c>
      <c r="M348">
        <v>66629</v>
      </c>
      <c r="N348">
        <v>37447</v>
      </c>
      <c r="O348" s="6">
        <f>Table1[[#This Row],[Profit]]/Table1[[#This Row],[Sales_Amount]]</f>
        <v>0.35980437372689189</v>
      </c>
      <c r="P348" t="s">
        <v>60</v>
      </c>
    </row>
    <row r="349" spans="1:16" x14ac:dyDescent="0.35">
      <c r="A349" t="s">
        <v>989</v>
      </c>
      <c r="B349" t="s">
        <v>678</v>
      </c>
      <c r="C349" t="str">
        <f>TEXT(Table1[[#This Row],[Order_Date]],"mmm")</f>
        <v>Feb</v>
      </c>
      <c r="D349">
        <f>YEAR(Table1[[#This Row],[Order_Date]])</f>
        <v>2025</v>
      </c>
      <c r="E349" t="s">
        <v>111</v>
      </c>
      <c r="F349" t="s">
        <v>169</v>
      </c>
      <c r="G349" t="s">
        <v>138</v>
      </c>
      <c r="H349" t="s">
        <v>990</v>
      </c>
      <c r="I349" t="s">
        <v>50</v>
      </c>
      <c r="J349" t="s">
        <v>51</v>
      </c>
      <c r="K349">
        <v>7</v>
      </c>
      <c r="L349">
        <v>91819</v>
      </c>
      <c r="M349">
        <v>53316</v>
      </c>
      <c r="N349">
        <v>38503</v>
      </c>
      <c r="O349" s="6">
        <f>Table1[[#This Row],[Profit]]/Table1[[#This Row],[Sales_Amount]]</f>
        <v>0.41933586730415273</v>
      </c>
      <c r="P349" t="s">
        <v>60</v>
      </c>
    </row>
    <row r="350" spans="1:16" x14ac:dyDescent="0.35">
      <c r="A350" t="s">
        <v>991</v>
      </c>
      <c r="B350" t="s">
        <v>203</v>
      </c>
      <c r="C350" t="str">
        <f>TEXT(Table1[[#This Row],[Order_Date]],"mmm")</f>
        <v>Sep</v>
      </c>
      <c r="D350">
        <f>YEAR(Table1[[#This Row],[Order_Date]])</f>
        <v>2025</v>
      </c>
      <c r="E350" t="s">
        <v>46</v>
      </c>
      <c r="F350" t="s">
        <v>74</v>
      </c>
      <c r="G350" t="s">
        <v>116</v>
      </c>
      <c r="H350" t="s">
        <v>992</v>
      </c>
      <c r="I350" t="s">
        <v>125</v>
      </c>
      <c r="J350" t="s">
        <v>83</v>
      </c>
      <c r="K350">
        <v>20</v>
      </c>
      <c r="L350">
        <v>90180</v>
      </c>
      <c r="M350">
        <v>51349</v>
      </c>
      <c r="N350">
        <v>38831</v>
      </c>
      <c r="O350" s="6">
        <f>Table1[[#This Row],[Profit]]/Table1[[#This Row],[Sales_Amount]]</f>
        <v>0.43059436682191171</v>
      </c>
      <c r="P350" t="s">
        <v>60</v>
      </c>
    </row>
    <row r="351" spans="1:16" x14ac:dyDescent="0.35">
      <c r="A351" t="s">
        <v>993</v>
      </c>
      <c r="B351" t="s">
        <v>994</v>
      </c>
      <c r="C351" t="str">
        <f>TEXT(Table1[[#This Row],[Order_Date]],"mmm")</f>
        <v>Mar</v>
      </c>
      <c r="D351">
        <f>YEAR(Table1[[#This Row],[Order_Date]])</f>
        <v>2025</v>
      </c>
      <c r="E351" t="s">
        <v>55</v>
      </c>
      <c r="F351" t="s">
        <v>56</v>
      </c>
      <c r="G351" t="s">
        <v>65</v>
      </c>
      <c r="H351" t="s">
        <v>995</v>
      </c>
      <c r="I351" t="s">
        <v>143</v>
      </c>
      <c r="J351" t="s">
        <v>51</v>
      </c>
      <c r="K351">
        <v>16</v>
      </c>
      <c r="L351">
        <v>116466</v>
      </c>
      <c r="M351">
        <v>97479</v>
      </c>
      <c r="N351">
        <v>18987</v>
      </c>
      <c r="O351" s="6">
        <f>Table1[[#This Row],[Profit]]/Table1[[#This Row],[Sales_Amount]]</f>
        <v>0.1630261192107568</v>
      </c>
      <c r="P351" t="s">
        <v>52</v>
      </c>
    </row>
    <row r="352" spans="1:16" x14ac:dyDescent="0.35">
      <c r="A352" t="s">
        <v>996</v>
      </c>
      <c r="B352" t="s">
        <v>997</v>
      </c>
      <c r="C352" t="str">
        <f>TEXT(Table1[[#This Row],[Order_Date]],"mmm")</f>
        <v>Jan</v>
      </c>
      <c r="D352">
        <f>YEAR(Table1[[#This Row],[Order_Date]])</f>
        <v>2025</v>
      </c>
      <c r="E352" t="s">
        <v>63</v>
      </c>
      <c r="F352" t="s">
        <v>104</v>
      </c>
      <c r="G352" t="s">
        <v>70</v>
      </c>
      <c r="H352" t="s">
        <v>998</v>
      </c>
      <c r="I352" t="s">
        <v>82</v>
      </c>
      <c r="J352" t="s">
        <v>83</v>
      </c>
      <c r="K352">
        <v>17</v>
      </c>
      <c r="L352">
        <v>117373</v>
      </c>
      <c r="M352">
        <v>72865</v>
      </c>
      <c r="N352">
        <v>44508</v>
      </c>
      <c r="O352" s="6">
        <f>Table1[[#This Row],[Profit]]/Table1[[#This Row],[Sales_Amount]]</f>
        <v>0.37920134954376217</v>
      </c>
      <c r="P352" t="s">
        <v>52</v>
      </c>
    </row>
    <row r="353" spans="1:16" x14ac:dyDescent="0.35">
      <c r="A353" t="s">
        <v>999</v>
      </c>
      <c r="B353" t="s">
        <v>910</v>
      </c>
      <c r="C353" t="str">
        <f>TEXT(Table1[[#This Row],[Order_Date]],"mmm")</f>
        <v>May</v>
      </c>
      <c r="D353">
        <f>YEAR(Table1[[#This Row],[Order_Date]])</f>
        <v>2025</v>
      </c>
      <c r="E353" t="s">
        <v>111</v>
      </c>
      <c r="F353" t="s">
        <v>112</v>
      </c>
      <c r="G353" t="s">
        <v>80</v>
      </c>
      <c r="H353" t="s">
        <v>1000</v>
      </c>
      <c r="I353" t="s">
        <v>76</v>
      </c>
      <c r="J353" t="s">
        <v>77</v>
      </c>
      <c r="K353">
        <v>9</v>
      </c>
      <c r="L353">
        <v>62010</v>
      </c>
      <c r="M353">
        <v>36290</v>
      </c>
      <c r="N353">
        <v>25720</v>
      </c>
      <c r="O353" s="6">
        <f>Table1[[#This Row],[Profit]]/Table1[[#This Row],[Sales_Amount]]</f>
        <v>0.41477181099822608</v>
      </c>
      <c r="P353" t="s">
        <v>52</v>
      </c>
    </row>
    <row r="354" spans="1:16" x14ac:dyDescent="0.35">
      <c r="A354" t="s">
        <v>1001</v>
      </c>
      <c r="B354" t="s">
        <v>523</v>
      </c>
      <c r="C354" t="str">
        <f>TEXT(Table1[[#This Row],[Order_Date]],"mmm")</f>
        <v>Mar</v>
      </c>
      <c r="D354">
        <f>YEAR(Table1[[#This Row],[Order_Date]])</f>
        <v>2025</v>
      </c>
      <c r="E354" t="s">
        <v>55</v>
      </c>
      <c r="F354" t="s">
        <v>56</v>
      </c>
      <c r="G354" t="s">
        <v>116</v>
      </c>
      <c r="H354" t="s">
        <v>1002</v>
      </c>
      <c r="I354" t="s">
        <v>59</v>
      </c>
      <c r="J354" t="s">
        <v>51</v>
      </c>
      <c r="K354">
        <v>4</v>
      </c>
      <c r="L354">
        <v>41762</v>
      </c>
      <c r="M354">
        <v>28429</v>
      </c>
      <c r="N354">
        <v>13333</v>
      </c>
      <c r="O354" s="6">
        <f>Table1[[#This Row],[Profit]]/Table1[[#This Row],[Sales_Amount]]</f>
        <v>0.31926152962022891</v>
      </c>
      <c r="P354" t="s">
        <v>121</v>
      </c>
    </row>
    <row r="355" spans="1:16" x14ac:dyDescent="0.35">
      <c r="A355" t="s">
        <v>1003</v>
      </c>
      <c r="B355" t="s">
        <v>1004</v>
      </c>
      <c r="C355" t="str">
        <f>TEXT(Table1[[#This Row],[Order_Date]],"mmm")</f>
        <v>Oct</v>
      </c>
      <c r="D355">
        <f>YEAR(Table1[[#This Row],[Order_Date]])</f>
        <v>2025</v>
      </c>
      <c r="E355" t="s">
        <v>46</v>
      </c>
      <c r="F355" t="s">
        <v>47</v>
      </c>
      <c r="G355" t="s">
        <v>138</v>
      </c>
      <c r="H355" t="s">
        <v>1005</v>
      </c>
      <c r="I355" t="s">
        <v>67</v>
      </c>
      <c r="J355" t="s">
        <v>51</v>
      </c>
      <c r="K355">
        <v>14</v>
      </c>
      <c r="L355">
        <v>18392</v>
      </c>
      <c r="M355">
        <v>12807</v>
      </c>
      <c r="N355">
        <v>5585</v>
      </c>
      <c r="O355" s="6">
        <f>Table1[[#This Row],[Profit]]/Table1[[#This Row],[Sales_Amount]]</f>
        <v>0.30366463679860811</v>
      </c>
      <c r="P355" t="s">
        <v>98</v>
      </c>
    </row>
    <row r="356" spans="1:16" x14ac:dyDescent="0.35">
      <c r="A356" t="s">
        <v>1006</v>
      </c>
      <c r="B356" t="s">
        <v>1004</v>
      </c>
      <c r="C356" t="str">
        <f>TEXT(Table1[[#This Row],[Order_Date]],"mmm")</f>
        <v>Oct</v>
      </c>
      <c r="D356">
        <f>YEAR(Table1[[#This Row],[Order_Date]])</f>
        <v>2025</v>
      </c>
      <c r="E356" t="s">
        <v>55</v>
      </c>
      <c r="F356" t="s">
        <v>188</v>
      </c>
      <c r="G356" t="s">
        <v>70</v>
      </c>
      <c r="H356" t="s">
        <v>1007</v>
      </c>
      <c r="I356" t="s">
        <v>143</v>
      </c>
      <c r="J356" t="s">
        <v>51</v>
      </c>
      <c r="K356">
        <v>24</v>
      </c>
      <c r="L356">
        <v>23909</v>
      </c>
      <c r="M356">
        <v>14489</v>
      </c>
      <c r="N356">
        <v>9420</v>
      </c>
      <c r="O356" s="6">
        <f>Table1[[#This Row],[Profit]]/Table1[[#This Row],[Sales_Amount]]</f>
        <v>0.39399389351290309</v>
      </c>
      <c r="P356" t="s">
        <v>98</v>
      </c>
    </row>
    <row r="357" spans="1:16" x14ac:dyDescent="0.35">
      <c r="A357" t="s">
        <v>1008</v>
      </c>
      <c r="B357" t="s">
        <v>232</v>
      </c>
      <c r="C357" t="str">
        <f>TEXT(Table1[[#This Row],[Order_Date]],"mmm")</f>
        <v>Mar</v>
      </c>
      <c r="D357">
        <f>YEAR(Table1[[#This Row],[Order_Date]])</f>
        <v>2025</v>
      </c>
      <c r="E357" t="s">
        <v>63</v>
      </c>
      <c r="F357" t="s">
        <v>104</v>
      </c>
      <c r="G357" t="s">
        <v>48</v>
      </c>
      <c r="H357" t="s">
        <v>1009</v>
      </c>
      <c r="I357" t="s">
        <v>59</v>
      </c>
      <c r="J357" t="s">
        <v>51</v>
      </c>
      <c r="K357">
        <v>2</v>
      </c>
      <c r="L357">
        <v>73211</v>
      </c>
      <c r="M357">
        <v>58026</v>
      </c>
      <c r="N357">
        <v>15185</v>
      </c>
      <c r="O357" s="6">
        <f>Table1[[#This Row],[Profit]]/Table1[[#This Row],[Sales_Amount]]</f>
        <v>0.20741418639275519</v>
      </c>
      <c r="P357" t="s">
        <v>52</v>
      </c>
    </row>
    <row r="358" spans="1:16" x14ac:dyDescent="0.35">
      <c r="A358" t="s">
        <v>1010</v>
      </c>
      <c r="B358" t="s">
        <v>1011</v>
      </c>
      <c r="C358" t="str">
        <f>TEXT(Table1[[#This Row],[Order_Date]],"mmm")</f>
        <v>Mar</v>
      </c>
      <c r="D358">
        <f>YEAR(Table1[[#This Row],[Order_Date]])</f>
        <v>2025</v>
      </c>
      <c r="E358" t="s">
        <v>55</v>
      </c>
      <c r="F358" t="s">
        <v>188</v>
      </c>
      <c r="G358" t="s">
        <v>80</v>
      </c>
      <c r="H358" t="s">
        <v>1012</v>
      </c>
      <c r="I358" t="s">
        <v>59</v>
      </c>
      <c r="J358" t="s">
        <v>51</v>
      </c>
      <c r="K358">
        <v>3</v>
      </c>
      <c r="L358">
        <v>100151</v>
      </c>
      <c r="M358">
        <v>74855</v>
      </c>
      <c r="N358">
        <v>25296</v>
      </c>
      <c r="O358" s="6">
        <f>Table1[[#This Row],[Profit]]/Table1[[#This Row],[Sales_Amount]]</f>
        <v>0.25257860630448026</v>
      </c>
      <c r="P358" t="s">
        <v>121</v>
      </c>
    </row>
    <row r="359" spans="1:16" x14ac:dyDescent="0.35">
      <c r="A359" t="s">
        <v>1013</v>
      </c>
      <c r="B359" t="s">
        <v>351</v>
      </c>
      <c r="C359" t="str">
        <f>TEXT(Table1[[#This Row],[Order_Date]],"mmm")</f>
        <v>Jan</v>
      </c>
      <c r="D359">
        <f>YEAR(Table1[[#This Row],[Order_Date]])</f>
        <v>2025</v>
      </c>
      <c r="E359" t="s">
        <v>55</v>
      </c>
      <c r="F359" t="s">
        <v>188</v>
      </c>
      <c r="G359" t="s">
        <v>128</v>
      </c>
      <c r="H359" t="s">
        <v>1014</v>
      </c>
      <c r="I359" t="s">
        <v>50</v>
      </c>
      <c r="J359" t="s">
        <v>51</v>
      </c>
      <c r="K359">
        <v>17</v>
      </c>
      <c r="L359">
        <v>103523</v>
      </c>
      <c r="M359">
        <v>71894</v>
      </c>
      <c r="N359">
        <v>31629</v>
      </c>
      <c r="O359" s="6">
        <f>Table1[[#This Row],[Profit]]/Table1[[#This Row],[Sales_Amount]]</f>
        <v>0.30552630816340332</v>
      </c>
      <c r="P359" t="s">
        <v>52</v>
      </c>
    </row>
    <row r="360" spans="1:16" x14ac:dyDescent="0.35">
      <c r="A360" t="s">
        <v>1015</v>
      </c>
      <c r="B360" t="s">
        <v>994</v>
      </c>
      <c r="C360" t="str">
        <f>TEXT(Table1[[#This Row],[Order_Date]],"mmm")</f>
        <v>Mar</v>
      </c>
      <c r="D360">
        <f>YEAR(Table1[[#This Row],[Order_Date]])</f>
        <v>2025</v>
      </c>
      <c r="E360" t="s">
        <v>55</v>
      </c>
      <c r="F360" t="s">
        <v>188</v>
      </c>
      <c r="G360" t="s">
        <v>116</v>
      </c>
      <c r="H360" t="s">
        <v>562</v>
      </c>
      <c r="I360" t="s">
        <v>67</v>
      </c>
      <c r="J360" t="s">
        <v>51</v>
      </c>
      <c r="K360">
        <v>6</v>
      </c>
      <c r="L360">
        <v>38940</v>
      </c>
      <c r="M360">
        <v>31382</v>
      </c>
      <c r="N360">
        <v>7558</v>
      </c>
      <c r="O360" s="6">
        <f>Table1[[#This Row],[Profit]]/Table1[[#This Row],[Sales_Amount]]</f>
        <v>0.19409347714432459</v>
      </c>
      <c r="P360" t="s">
        <v>60</v>
      </c>
    </row>
    <row r="361" spans="1:16" x14ac:dyDescent="0.35">
      <c r="A361" t="s">
        <v>1016</v>
      </c>
      <c r="B361" t="s">
        <v>474</v>
      </c>
      <c r="C361" t="str">
        <f>TEXT(Table1[[#This Row],[Order_Date]],"mmm")</f>
        <v>Nov</v>
      </c>
      <c r="D361">
        <f>YEAR(Table1[[#This Row],[Order_Date]])</f>
        <v>2025</v>
      </c>
      <c r="E361" t="s">
        <v>46</v>
      </c>
      <c r="F361" t="s">
        <v>47</v>
      </c>
      <c r="G361" t="s">
        <v>128</v>
      </c>
      <c r="H361" t="s">
        <v>1017</v>
      </c>
      <c r="I361" t="s">
        <v>59</v>
      </c>
      <c r="J361" t="s">
        <v>51</v>
      </c>
      <c r="K361">
        <v>15</v>
      </c>
      <c r="L361">
        <v>41835</v>
      </c>
      <c r="M361">
        <v>21809</v>
      </c>
      <c r="N361">
        <v>20026</v>
      </c>
      <c r="O361" s="6">
        <f>Table1[[#This Row],[Profit]]/Table1[[#This Row],[Sales_Amount]]</f>
        <v>0.47869009202820606</v>
      </c>
      <c r="P361" t="s">
        <v>98</v>
      </c>
    </row>
    <row r="362" spans="1:16" x14ac:dyDescent="0.35">
      <c r="A362" t="s">
        <v>1018</v>
      </c>
      <c r="B362" t="s">
        <v>123</v>
      </c>
      <c r="C362" t="str">
        <f>TEXT(Table1[[#This Row],[Order_Date]],"mmm")</f>
        <v>Jul</v>
      </c>
      <c r="D362">
        <f>YEAR(Table1[[#This Row],[Order_Date]])</f>
        <v>2025</v>
      </c>
      <c r="E362" t="s">
        <v>55</v>
      </c>
      <c r="F362" t="s">
        <v>188</v>
      </c>
      <c r="G362" t="s">
        <v>80</v>
      </c>
      <c r="H362" t="s">
        <v>1019</v>
      </c>
      <c r="I362" t="s">
        <v>82</v>
      </c>
      <c r="J362" t="s">
        <v>83</v>
      </c>
      <c r="K362">
        <v>15</v>
      </c>
      <c r="L362">
        <v>65507</v>
      </c>
      <c r="M362">
        <v>44313</v>
      </c>
      <c r="N362">
        <v>21194</v>
      </c>
      <c r="O362" s="6">
        <f>Table1[[#This Row],[Profit]]/Table1[[#This Row],[Sales_Amount]]</f>
        <v>0.32353794250996076</v>
      </c>
      <c r="P362" t="s">
        <v>98</v>
      </c>
    </row>
    <row r="363" spans="1:16" x14ac:dyDescent="0.35">
      <c r="A363" t="s">
        <v>1020</v>
      </c>
      <c r="B363" t="s">
        <v>154</v>
      </c>
      <c r="C363" t="str">
        <f>TEXT(Table1[[#This Row],[Order_Date]],"mmm")</f>
        <v>Dec</v>
      </c>
      <c r="D363">
        <f>YEAR(Table1[[#This Row],[Order_Date]])</f>
        <v>2025</v>
      </c>
      <c r="E363" t="s">
        <v>55</v>
      </c>
      <c r="F363" t="s">
        <v>56</v>
      </c>
      <c r="G363" t="s">
        <v>138</v>
      </c>
      <c r="H363" t="s">
        <v>1021</v>
      </c>
      <c r="I363" t="s">
        <v>59</v>
      </c>
      <c r="J363" t="s">
        <v>51</v>
      </c>
      <c r="K363">
        <v>13</v>
      </c>
      <c r="L363">
        <v>79025</v>
      </c>
      <c r="M363">
        <v>41026</v>
      </c>
      <c r="N363">
        <v>37999</v>
      </c>
      <c r="O363" s="6">
        <f>Table1[[#This Row],[Profit]]/Table1[[#This Row],[Sales_Amount]]</f>
        <v>0.48084783296425182</v>
      </c>
      <c r="P363" t="s">
        <v>121</v>
      </c>
    </row>
    <row r="364" spans="1:16" x14ac:dyDescent="0.35">
      <c r="A364" t="s">
        <v>1022</v>
      </c>
      <c r="B364" t="s">
        <v>212</v>
      </c>
      <c r="C364" t="str">
        <f>TEXT(Table1[[#This Row],[Order_Date]],"mmm")</f>
        <v>Feb</v>
      </c>
      <c r="D364">
        <f>YEAR(Table1[[#This Row],[Order_Date]])</f>
        <v>2025</v>
      </c>
      <c r="E364" t="s">
        <v>46</v>
      </c>
      <c r="F364" t="s">
        <v>74</v>
      </c>
      <c r="G364" t="s">
        <v>116</v>
      </c>
      <c r="H364" t="s">
        <v>1023</v>
      </c>
      <c r="I364" t="s">
        <v>87</v>
      </c>
      <c r="J364" t="s">
        <v>88</v>
      </c>
      <c r="K364">
        <v>4</v>
      </c>
      <c r="L364">
        <v>53337</v>
      </c>
      <c r="M364">
        <v>26327</v>
      </c>
      <c r="N364">
        <v>27010</v>
      </c>
      <c r="O364" s="6">
        <f>Table1[[#This Row],[Profit]]/Table1[[#This Row],[Sales_Amount]]</f>
        <v>0.50640268481541895</v>
      </c>
      <c r="P364" t="s">
        <v>98</v>
      </c>
    </row>
    <row r="365" spans="1:16" x14ac:dyDescent="0.35">
      <c r="A365" t="s">
        <v>1024</v>
      </c>
      <c r="B365" t="s">
        <v>471</v>
      </c>
      <c r="C365" t="str">
        <f>TEXT(Table1[[#This Row],[Order_Date]],"mmm")</f>
        <v>Mar</v>
      </c>
      <c r="D365">
        <f>YEAR(Table1[[#This Row],[Order_Date]])</f>
        <v>2025</v>
      </c>
      <c r="E365" t="s">
        <v>55</v>
      </c>
      <c r="F365" t="s">
        <v>56</v>
      </c>
      <c r="G365" t="s">
        <v>138</v>
      </c>
      <c r="H365" t="s">
        <v>1025</v>
      </c>
      <c r="I365" t="s">
        <v>143</v>
      </c>
      <c r="J365" t="s">
        <v>51</v>
      </c>
      <c r="K365">
        <v>11</v>
      </c>
      <c r="L365">
        <v>3340</v>
      </c>
      <c r="M365">
        <v>1654</v>
      </c>
      <c r="N365">
        <v>1686</v>
      </c>
      <c r="O365" s="6">
        <f>Table1[[#This Row],[Profit]]/Table1[[#This Row],[Sales_Amount]]</f>
        <v>0.50479041916167666</v>
      </c>
      <c r="P365" t="s">
        <v>60</v>
      </c>
    </row>
    <row r="366" spans="1:16" x14ac:dyDescent="0.35">
      <c r="A366" t="s">
        <v>1026</v>
      </c>
      <c r="B366" t="s">
        <v>45</v>
      </c>
      <c r="C366" t="str">
        <f>TEXT(Table1[[#This Row],[Order_Date]],"mmm")</f>
        <v>Jul</v>
      </c>
      <c r="D366">
        <f>YEAR(Table1[[#This Row],[Order_Date]])</f>
        <v>2025</v>
      </c>
      <c r="E366" t="s">
        <v>55</v>
      </c>
      <c r="F366" t="s">
        <v>188</v>
      </c>
      <c r="G366" t="s">
        <v>138</v>
      </c>
      <c r="H366" t="s">
        <v>1027</v>
      </c>
      <c r="I366" t="s">
        <v>67</v>
      </c>
      <c r="J366" t="s">
        <v>51</v>
      </c>
      <c r="K366">
        <v>1</v>
      </c>
      <c r="L366">
        <v>102755</v>
      </c>
      <c r="M366">
        <v>77665</v>
      </c>
      <c r="N366">
        <v>25090</v>
      </c>
      <c r="O366" s="6">
        <f>Table1[[#This Row],[Profit]]/Table1[[#This Row],[Sales_Amount]]</f>
        <v>0.24417303294243589</v>
      </c>
      <c r="P366" t="s">
        <v>98</v>
      </c>
    </row>
    <row r="367" spans="1:16" x14ac:dyDescent="0.35">
      <c r="A367" t="s">
        <v>1028</v>
      </c>
      <c r="B367" t="s">
        <v>1029</v>
      </c>
      <c r="C367" t="str">
        <f>TEXT(Table1[[#This Row],[Order_Date]],"mmm")</f>
        <v>Jun</v>
      </c>
      <c r="D367">
        <f>YEAR(Table1[[#This Row],[Order_Date]])</f>
        <v>2025</v>
      </c>
      <c r="E367" t="s">
        <v>55</v>
      </c>
      <c r="F367" t="s">
        <v>188</v>
      </c>
      <c r="G367" t="s">
        <v>116</v>
      </c>
      <c r="H367" t="s">
        <v>1030</v>
      </c>
      <c r="I367" t="s">
        <v>76</v>
      </c>
      <c r="J367" t="s">
        <v>77</v>
      </c>
      <c r="K367">
        <v>16</v>
      </c>
      <c r="L367">
        <v>14438</v>
      </c>
      <c r="M367">
        <v>7199</v>
      </c>
      <c r="N367">
        <v>7239</v>
      </c>
      <c r="O367" s="6">
        <f>Table1[[#This Row],[Profit]]/Table1[[#This Row],[Sales_Amount]]</f>
        <v>0.50138523341182994</v>
      </c>
      <c r="P367" t="s">
        <v>52</v>
      </c>
    </row>
    <row r="368" spans="1:16" x14ac:dyDescent="0.35">
      <c r="A368" t="s">
        <v>1031</v>
      </c>
      <c r="B368" t="s">
        <v>1032</v>
      </c>
      <c r="C368" t="str">
        <f>TEXT(Table1[[#This Row],[Order_Date]],"mmm")</f>
        <v>Oct</v>
      </c>
      <c r="D368">
        <f>YEAR(Table1[[#This Row],[Order_Date]])</f>
        <v>2025</v>
      </c>
      <c r="E368" t="s">
        <v>63</v>
      </c>
      <c r="F368" t="s">
        <v>104</v>
      </c>
      <c r="G368" t="s">
        <v>48</v>
      </c>
      <c r="H368" t="s">
        <v>1033</v>
      </c>
      <c r="I368" t="s">
        <v>50</v>
      </c>
      <c r="J368" t="s">
        <v>51</v>
      </c>
      <c r="K368">
        <v>2</v>
      </c>
      <c r="L368">
        <v>10282</v>
      </c>
      <c r="M368">
        <v>7022</v>
      </c>
      <c r="N368">
        <v>3260</v>
      </c>
      <c r="O368" s="6">
        <f>Table1[[#This Row],[Profit]]/Table1[[#This Row],[Sales_Amount]]</f>
        <v>0.31705893794981521</v>
      </c>
      <c r="P368" t="s">
        <v>98</v>
      </c>
    </row>
    <row r="369" spans="1:16" x14ac:dyDescent="0.35">
      <c r="A369" t="s">
        <v>1034</v>
      </c>
      <c r="B369" t="s">
        <v>203</v>
      </c>
      <c r="C369" t="str">
        <f>TEXT(Table1[[#This Row],[Order_Date]],"mmm")</f>
        <v>Sep</v>
      </c>
      <c r="D369">
        <f>YEAR(Table1[[#This Row],[Order_Date]])</f>
        <v>2025</v>
      </c>
      <c r="E369" t="s">
        <v>63</v>
      </c>
      <c r="F369" t="s">
        <v>64</v>
      </c>
      <c r="G369" t="s">
        <v>70</v>
      </c>
      <c r="H369" t="s">
        <v>1035</v>
      </c>
      <c r="I369" t="s">
        <v>50</v>
      </c>
      <c r="J369" t="s">
        <v>51</v>
      </c>
      <c r="K369">
        <v>14</v>
      </c>
      <c r="L369">
        <v>18033</v>
      </c>
      <c r="M369">
        <v>9183</v>
      </c>
      <c r="N369">
        <v>8850</v>
      </c>
      <c r="O369" s="6">
        <f>Table1[[#This Row],[Profit]]/Table1[[#This Row],[Sales_Amount]]</f>
        <v>0.49076692729995008</v>
      </c>
      <c r="P369" t="s">
        <v>121</v>
      </c>
    </row>
    <row r="370" spans="1:16" x14ac:dyDescent="0.35">
      <c r="A370" t="s">
        <v>1036</v>
      </c>
      <c r="B370" t="s">
        <v>69</v>
      </c>
      <c r="C370" t="str">
        <f>TEXT(Table1[[#This Row],[Order_Date]],"mmm")</f>
        <v>Feb</v>
      </c>
      <c r="D370">
        <f>YEAR(Table1[[#This Row],[Order_Date]])</f>
        <v>2025</v>
      </c>
      <c r="E370" t="s">
        <v>63</v>
      </c>
      <c r="F370" t="s">
        <v>64</v>
      </c>
      <c r="G370" t="s">
        <v>70</v>
      </c>
      <c r="H370" t="s">
        <v>1037</v>
      </c>
      <c r="I370" t="s">
        <v>50</v>
      </c>
      <c r="J370" t="s">
        <v>51</v>
      </c>
      <c r="K370">
        <v>7</v>
      </c>
      <c r="L370">
        <v>89192</v>
      </c>
      <c r="M370">
        <v>62000</v>
      </c>
      <c r="N370">
        <v>27192</v>
      </c>
      <c r="O370" s="6">
        <f>Table1[[#This Row],[Profit]]/Table1[[#This Row],[Sales_Amount]]</f>
        <v>0.30487039196340476</v>
      </c>
      <c r="P370" t="s">
        <v>52</v>
      </c>
    </row>
    <row r="371" spans="1:16" x14ac:dyDescent="0.35">
      <c r="A371" t="s">
        <v>1038</v>
      </c>
      <c r="B371" t="s">
        <v>1039</v>
      </c>
      <c r="C371" t="str">
        <f>TEXT(Table1[[#This Row],[Order_Date]],"mmm")</f>
        <v>May</v>
      </c>
      <c r="D371">
        <f>YEAR(Table1[[#This Row],[Order_Date]])</f>
        <v>2025</v>
      </c>
      <c r="E371" t="s">
        <v>63</v>
      </c>
      <c r="F371" t="s">
        <v>104</v>
      </c>
      <c r="G371" t="s">
        <v>70</v>
      </c>
      <c r="H371" t="s">
        <v>1040</v>
      </c>
      <c r="I371" t="s">
        <v>67</v>
      </c>
      <c r="J371" t="s">
        <v>51</v>
      </c>
      <c r="K371">
        <v>11</v>
      </c>
      <c r="L371">
        <v>60201</v>
      </c>
      <c r="M371">
        <v>32483</v>
      </c>
      <c r="N371">
        <v>27718</v>
      </c>
      <c r="O371" s="6">
        <f>Table1[[#This Row],[Profit]]/Table1[[#This Row],[Sales_Amount]]</f>
        <v>0.46042424544442784</v>
      </c>
      <c r="P371" t="s">
        <v>98</v>
      </c>
    </row>
    <row r="372" spans="1:16" x14ac:dyDescent="0.35">
      <c r="A372" t="s">
        <v>1041</v>
      </c>
      <c r="B372" t="s">
        <v>290</v>
      </c>
      <c r="C372" t="str">
        <f>TEXT(Table1[[#This Row],[Order_Date]],"mmm")</f>
        <v>Jun</v>
      </c>
      <c r="D372">
        <f>YEAR(Table1[[#This Row],[Order_Date]])</f>
        <v>2025</v>
      </c>
      <c r="E372" t="s">
        <v>46</v>
      </c>
      <c r="F372" t="s">
        <v>47</v>
      </c>
      <c r="G372" t="s">
        <v>80</v>
      </c>
      <c r="H372" t="s">
        <v>1042</v>
      </c>
      <c r="I372" t="s">
        <v>156</v>
      </c>
      <c r="J372" t="s">
        <v>157</v>
      </c>
      <c r="K372">
        <v>17</v>
      </c>
      <c r="L372">
        <v>96527</v>
      </c>
      <c r="M372">
        <v>55882</v>
      </c>
      <c r="N372">
        <v>40645</v>
      </c>
      <c r="O372" s="6">
        <f>Table1[[#This Row],[Profit]]/Table1[[#This Row],[Sales_Amount]]</f>
        <v>0.42107389642276255</v>
      </c>
      <c r="P372" t="s">
        <v>121</v>
      </c>
    </row>
    <row r="373" spans="1:16" x14ac:dyDescent="0.35">
      <c r="A373" t="s">
        <v>1043</v>
      </c>
      <c r="B373" t="s">
        <v>719</v>
      </c>
      <c r="C373" t="str">
        <f>TEXT(Table1[[#This Row],[Order_Date]],"mmm")</f>
        <v>Nov</v>
      </c>
      <c r="D373">
        <f>YEAR(Table1[[#This Row],[Order_Date]])</f>
        <v>2025</v>
      </c>
      <c r="E373" t="s">
        <v>46</v>
      </c>
      <c r="F373" t="s">
        <v>74</v>
      </c>
      <c r="G373" t="s">
        <v>116</v>
      </c>
      <c r="H373" t="s">
        <v>1044</v>
      </c>
      <c r="I373" t="s">
        <v>67</v>
      </c>
      <c r="J373" t="s">
        <v>51</v>
      </c>
      <c r="K373">
        <v>9</v>
      </c>
      <c r="L373">
        <v>36495</v>
      </c>
      <c r="M373">
        <v>27418</v>
      </c>
      <c r="N373">
        <v>9077</v>
      </c>
      <c r="O373" s="6">
        <f>Table1[[#This Row],[Profit]]/Table1[[#This Row],[Sales_Amount]]</f>
        <v>0.24871900260309632</v>
      </c>
      <c r="P373" t="s">
        <v>60</v>
      </c>
    </row>
    <row r="374" spans="1:16" x14ac:dyDescent="0.35">
      <c r="A374" t="s">
        <v>1045</v>
      </c>
      <c r="B374" t="s">
        <v>975</v>
      </c>
      <c r="C374" t="str">
        <f>TEXT(Table1[[#This Row],[Order_Date]],"mmm")</f>
        <v>Aug</v>
      </c>
      <c r="D374">
        <f>YEAR(Table1[[#This Row],[Order_Date]])</f>
        <v>2025</v>
      </c>
      <c r="E374" t="s">
        <v>55</v>
      </c>
      <c r="F374" t="s">
        <v>188</v>
      </c>
      <c r="G374" t="s">
        <v>65</v>
      </c>
      <c r="H374" t="s">
        <v>1046</v>
      </c>
      <c r="I374" t="s">
        <v>143</v>
      </c>
      <c r="J374" t="s">
        <v>51</v>
      </c>
      <c r="K374">
        <v>23</v>
      </c>
      <c r="L374">
        <v>88071</v>
      </c>
      <c r="M374">
        <v>40626</v>
      </c>
      <c r="N374">
        <v>47445</v>
      </c>
      <c r="O374" s="6">
        <f>Table1[[#This Row],[Profit]]/Table1[[#This Row],[Sales_Amount]]</f>
        <v>0.53871308376196481</v>
      </c>
      <c r="P374" t="s">
        <v>52</v>
      </c>
    </row>
    <row r="375" spans="1:16" x14ac:dyDescent="0.35">
      <c r="A375" t="s">
        <v>1047</v>
      </c>
      <c r="B375" t="s">
        <v>1048</v>
      </c>
      <c r="C375" t="str">
        <f>TEXT(Table1[[#This Row],[Order_Date]],"mmm")</f>
        <v>Nov</v>
      </c>
      <c r="D375">
        <f>YEAR(Table1[[#This Row],[Order_Date]])</f>
        <v>2025</v>
      </c>
      <c r="E375" t="s">
        <v>111</v>
      </c>
      <c r="F375" t="s">
        <v>169</v>
      </c>
      <c r="G375" t="s">
        <v>80</v>
      </c>
      <c r="H375" t="s">
        <v>1049</v>
      </c>
      <c r="I375" t="s">
        <v>87</v>
      </c>
      <c r="J375" t="s">
        <v>88</v>
      </c>
      <c r="K375">
        <v>17</v>
      </c>
      <c r="L375">
        <v>61753</v>
      </c>
      <c r="M375">
        <v>46666</v>
      </c>
      <c r="N375">
        <v>15087</v>
      </c>
      <c r="O375" s="6">
        <f>Table1[[#This Row],[Profit]]/Table1[[#This Row],[Sales_Amount]]</f>
        <v>0.24431201722993215</v>
      </c>
      <c r="P375" t="s">
        <v>121</v>
      </c>
    </row>
    <row r="376" spans="1:16" x14ac:dyDescent="0.35">
      <c r="A376" t="s">
        <v>1050</v>
      </c>
      <c r="B376" t="s">
        <v>1051</v>
      </c>
      <c r="C376" t="str">
        <f>TEXT(Table1[[#This Row],[Order_Date]],"mmm")</f>
        <v>Sep</v>
      </c>
      <c r="D376">
        <f>YEAR(Table1[[#This Row],[Order_Date]])</f>
        <v>2025</v>
      </c>
      <c r="E376" t="s">
        <v>111</v>
      </c>
      <c r="F376" t="s">
        <v>169</v>
      </c>
      <c r="G376" t="s">
        <v>138</v>
      </c>
      <c r="H376" t="s">
        <v>1052</v>
      </c>
      <c r="I376" t="s">
        <v>143</v>
      </c>
      <c r="J376" t="s">
        <v>51</v>
      </c>
      <c r="K376">
        <v>8</v>
      </c>
      <c r="L376">
        <v>15548</v>
      </c>
      <c r="M376">
        <v>11851</v>
      </c>
      <c r="N376">
        <v>3697</v>
      </c>
      <c r="O376" s="6">
        <f>Table1[[#This Row],[Profit]]/Table1[[#This Row],[Sales_Amount]]</f>
        <v>0.23777977874967843</v>
      </c>
      <c r="P376" t="s">
        <v>52</v>
      </c>
    </row>
    <row r="377" spans="1:16" x14ac:dyDescent="0.35">
      <c r="A377" t="s">
        <v>1053</v>
      </c>
      <c r="B377" t="s">
        <v>568</v>
      </c>
      <c r="C377" t="str">
        <f>TEXT(Table1[[#This Row],[Order_Date]],"mmm")</f>
        <v>Jul</v>
      </c>
      <c r="D377">
        <f>YEAR(Table1[[#This Row],[Order_Date]])</f>
        <v>2025</v>
      </c>
      <c r="E377" t="s">
        <v>46</v>
      </c>
      <c r="F377" t="s">
        <v>74</v>
      </c>
      <c r="G377" t="s">
        <v>70</v>
      </c>
      <c r="H377" t="s">
        <v>1054</v>
      </c>
      <c r="I377" t="s">
        <v>76</v>
      </c>
      <c r="J377" t="s">
        <v>77</v>
      </c>
      <c r="K377">
        <v>17</v>
      </c>
      <c r="L377">
        <v>117043</v>
      </c>
      <c r="M377">
        <v>62204</v>
      </c>
      <c r="N377">
        <v>54839</v>
      </c>
      <c r="O377" s="6">
        <f>Table1[[#This Row],[Profit]]/Table1[[#This Row],[Sales_Amount]]</f>
        <v>0.46853720427535178</v>
      </c>
      <c r="P377" t="s">
        <v>52</v>
      </c>
    </row>
    <row r="378" spans="1:16" x14ac:dyDescent="0.35">
      <c r="A378" t="s">
        <v>1055</v>
      </c>
      <c r="B378" t="s">
        <v>1056</v>
      </c>
      <c r="C378" t="str">
        <f>TEXT(Table1[[#This Row],[Order_Date]],"mmm")</f>
        <v>Jun</v>
      </c>
      <c r="D378">
        <f>YEAR(Table1[[#This Row],[Order_Date]])</f>
        <v>2025</v>
      </c>
      <c r="E378" t="s">
        <v>46</v>
      </c>
      <c r="F378" t="s">
        <v>74</v>
      </c>
      <c r="G378" t="s">
        <v>57</v>
      </c>
      <c r="H378" t="s">
        <v>1057</v>
      </c>
      <c r="I378" t="s">
        <v>125</v>
      </c>
      <c r="J378" t="s">
        <v>83</v>
      </c>
      <c r="K378">
        <v>24</v>
      </c>
      <c r="L378">
        <v>31408</v>
      </c>
      <c r="M378">
        <v>17425</v>
      </c>
      <c r="N378">
        <v>13983</v>
      </c>
      <c r="O378" s="6">
        <f>Table1[[#This Row],[Profit]]/Table1[[#This Row],[Sales_Amount]]</f>
        <v>0.4452050433010698</v>
      </c>
      <c r="P378" t="s">
        <v>52</v>
      </c>
    </row>
    <row r="379" spans="1:16" x14ac:dyDescent="0.35">
      <c r="A379" t="s">
        <v>1058</v>
      </c>
      <c r="B379" t="s">
        <v>388</v>
      </c>
      <c r="C379" t="str">
        <f>TEXT(Table1[[#This Row],[Order_Date]],"mmm")</f>
        <v>Jun</v>
      </c>
      <c r="D379">
        <f>YEAR(Table1[[#This Row],[Order_Date]])</f>
        <v>2025</v>
      </c>
      <c r="E379" t="s">
        <v>46</v>
      </c>
      <c r="F379" t="s">
        <v>47</v>
      </c>
      <c r="G379" t="s">
        <v>116</v>
      </c>
      <c r="H379" t="s">
        <v>1059</v>
      </c>
      <c r="I379" t="s">
        <v>67</v>
      </c>
      <c r="J379" t="s">
        <v>51</v>
      </c>
      <c r="K379">
        <v>1</v>
      </c>
      <c r="L379">
        <v>61337</v>
      </c>
      <c r="M379">
        <v>49141</v>
      </c>
      <c r="N379">
        <v>12196</v>
      </c>
      <c r="O379" s="6">
        <f>Table1[[#This Row],[Profit]]/Table1[[#This Row],[Sales_Amount]]</f>
        <v>0.19883593915581133</v>
      </c>
      <c r="P379" t="s">
        <v>98</v>
      </c>
    </row>
    <row r="380" spans="1:16" x14ac:dyDescent="0.35">
      <c r="A380" t="s">
        <v>1060</v>
      </c>
      <c r="B380" t="s">
        <v>1061</v>
      </c>
      <c r="C380" t="str">
        <f>TEXT(Table1[[#This Row],[Order_Date]],"mmm")</f>
        <v>Aug</v>
      </c>
      <c r="D380">
        <f>YEAR(Table1[[#This Row],[Order_Date]])</f>
        <v>2025</v>
      </c>
      <c r="E380" t="s">
        <v>46</v>
      </c>
      <c r="F380" t="s">
        <v>74</v>
      </c>
      <c r="G380" t="s">
        <v>48</v>
      </c>
      <c r="H380" t="s">
        <v>1062</v>
      </c>
      <c r="I380" t="s">
        <v>156</v>
      </c>
      <c r="J380" t="s">
        <v>157</v>
      </c>
      <c r="K380">
        <v>15</v>
      </c>
      <c r="L380">
        <v>96533</v>
      </c>
      <c r="M380">
        <v>53178</v>
      </c>
      <c r="N380">
        <v>43355</v>
      </c>
      <c r="O380" s="6">
        <f>Table1[[#This Row],[Profit]]/Table1[[#This Row],[Sales_Amount]]</f>
        <v>0.44912102597039355</v>
      </c>
      <c r="P380" t="s">
        <v>98</v>
      </c>
    </row>
    <row r="381" spans="1:16" x14ac:dyDescent="0.35">
      <c r="A381" t="s">
        <v>1063</v>
      </c>
      <c r="B381" t="s">
        <v>1064</v>
      </c>
      <c r="C381" t="str">
        <f>TEXT(Table1[[#This Row],[Order_Date]],"mmm")</f>
        <v>Jan</v>
      </c>
      <c r="D381">
        <f>YEAR(Table1[[#This Row],[Order_Date]])</f>
        <v>2026</v>
      </c>
      <c r="E381" t="s">
        <v>55</v>
      </c>
      <c r="F381" t="s">
        <v>56</v>
      </c>
      <c r="G381" t="s">
        <v>65</v>
      </c>
      <c r="H381" t="s">
        <v>1065</v>
      </c>
      <c r="I381" t="s">
        <v>156</v>
      </c>
      <c r="J381" t="s">
        <v>157</v>
      </c>
      <c r="K381">
        <v>23</v>
      </c>
      <c r="L381">
        <v>22908</v>
      </c>
      <c r="M381">
        <v>18845</v>
      </c>
      <c r="N381">
        <v>4063</v>
      </c>
      <c r="O381" s="6">
        <f>Table1[[#This Row],[Profit]]/Table1[[#This Row],[Sales_Amount]]</f>
        <v>0.17736162039462197</v>
      </c>
      <c r="P381" t="s">
        <v>121</v>
      </c>
    </row>
    <row r="382" spans="1:16" x14ac:dyDescent="0.35">
      <c r="A382" t="s">
        <v>1066</v>
      </c>
      <c r="B382" t="s">
        <v>673</v>
      </c>
      <c r="C382" t="str">
        <f>TEXT(Table1[[#This Row],[Order_Date]],"mmm")</f>
        <v>Jan</v>
      </c>
      <c r="D382">
        <f>YEAR(Table1[[#This Row],[Order_Date]])</f>
        <v>2025</v>
      </c>
      <c r="E382" t="s">
        <v>55</v>
      </c>
      <c r="F382" t="s">
        <v>56</v>
      </c>
      <c r="G382" t="s">
        <v>48</v>
      </c>
      <c r="H382" t="s">
        <v>1067</v>
      </c>
      <c r="I382" t="s">
        <v>82</v>
      </c>
      <c r="J382" t="s">
        <v>83</v>
      </c>
      <c r="K382">
        <v>21</v>
      </c>
      <c r="L382">
        <v>44451</v>
      </c>
      <c r="M382">
        <v>26513</v>
      </c>
      <c r="N382">
        <v>17938</v>
      </c>
      <c r="O382" s="6">
        <f>Table1[[#This Row],[Profit]]/Table1[[#This Row],[Sales_Amount]]</f>
        <v>0.40354547704213628</v>
      </c>
      <c r="P382" t="s">
        <v>121</v>
      </c>
    </row>
    <row r="383" spans="1:16" x14ac:dyDescent="0.35">
      <c r="A383" t="s">
        <v>1068</v>
      </c>
      <c r="B383" t="s">
        <v>1069</v>
      </c>
      <c r="C383" t="str">
        <f>TEXT(Table1[[#This Row],[Order_Date]],"mmm")</f>
        <v>Sep</v>
      </c>
      <c r="D383">
        <f>YEAR(Table1[[#This Row],[Order_Date]])</f>
        <v>2025</v>
      </c>
      <c r="E383" t="s">
        <v>55</v>
      </c>
      <c r="F383" t="s">
        <v>188</v>
      </c>
      <c r="G383" t="s">
        <v>80</v>
      </c>
      <c r="H383" t="s">
        <v>1070</v>
      </c>
      <c r="I383" t="s">
        <v>87</v>
      </c>
      <c r="J383" t="s">
        <v>88</v>
      </c>
      <c r="K383">
        <v>6</v>
      </c>
      <c r="L383">
        <v>36084</v>
      </c>
      <c r="M383">
        <v>18433</v>
      </c>
      <c r="N383">
        <v>17651</v>
      </c>
      <c r="O383" s="6">
        <f>Table1[[#This Row],[Profit]]/Table1[[#This Row],[Sales_Amount]]</f>
        <v>0.48916417248642058</v>
      </c>
      <c r="P383" t="s">
        <v>60</v>
      </c>
    </row>
    <row r="384" spans="1:16" x14ac:dyDescent="0.35">
      <c r="A384" t="s">
        <v>1071</v>
      </c>
      <c r="B384" t="s">
        <v>1072</v>
      </c>
      <c r="C384" t="str">
        <f>TEXT(Table1[[#This Row],[Order_Date]],"mmm")</f>
        <v>Sep</v>
      </c>
      <c r="D384">
        <f>YEAR(Table1[[#This Row],[Order_Date]])</f>
        <v>2025</v>
      </c>
      <c r="E384" t="s">
        <v>46</v>
      </c>
      <c r="F384" t="s">
        <v>47</v>
      </c>
      <c r="G384" t="s">
        <v>80</v>
      </c>
      <c r="H384" t="s">
        <v>1073</v>
      </c>
      <c r="I384" t="s">
        <v>143</v>
      </c>
      <c r="J384" t="s">
        <v>51</v>
      </c>
      <c r="K384">
        <v>6</v>
      </c>
      <c r="L384">
        <v>26055</v>
      </c>
      <c r="M384">
        <v>21511</v>
      </c>
      <c r="N384">
        <v>4544</v>
      </c>
      <c r="O384" s="6">
        <f>Table1[[#This Row],[Profit]]/Table1[[#This Row],[Sales_Amount]]</f>
        <v>0.17440030704279408</v>
      </c>
      <c r="P384" t="s">
        <v>52</v>
      </c>
    </row>
    <row r="385" spans="1:16" x14ac:dyDescent="0.35">
      <c r="A385" t="s">
        <v>1074</v>
      </c>
      <c r="B385" t="s">
        <v>586</v>
      </c>
      <c r="C385" t="str">
        <f>TEXT(Table1[[#This Row],[Order_Date]],"mmm")</f>
        <v>Dec</v>
      </c>
      <c r="D385">
        <f>YEAR(Table1[[#This Row],[Order_Date]])</f>
        <v>2025</v>
      </c>
      <c r="E385" t="s">
        <v>46</v>
      </c>
      <c r="F385" t="s">
        <v>74</v>
      </c>
      <c r="G385" t="s">
        <v>116</v>
      </c>
      <c r="H385" t="s">
        <v>1075</v>
      </c>
      <c r="I385" t="s">
        <v>87</v>
      </c>
      <c r="J385" t="s">
        <v>88</v>
      </c>
      <c r="K385">
        <v>18</v>
      </c>
      <c r="L385">
        <v>98067</v>
      </c>
      <c r="M385">
        <v>72108</v>
      </c>
      <c r="N385">
        <v>25959</v>
      </c>
      <c r="O385" s="6">
        <f>Table1[[#This Row],[Profit]]/Table1[[#This Row],[Sales_Amount]]</f>
        <v>0.26470678209795345</v>
      </c>
      <c r="P385" t="s">
        <v>60</v>
      </c>
    </row>
    <row r="386" spans="1:16" x14ac:dyDescent="0.35">
      <c r="A386" t="s">
        <v>1076</v>
      </c>
      <c r="B386" t="s">
        <v>203</v>
      </c>
      <c r="C386" t="str">
        <f>TEXT(Table1[[#This Row],[Order_Date]],"mmm")</f>
        <v>Sep</v>
      </c>
      <c r="D386">
        <f>YEAR(Table1[[#This Row],[Order_Date]])</f>
        <v>2025</v>
      </c>
      <c r="E386" t="s">
        <v>111</v>
      </c>
      <c r="F386" t="s">
        <v>169</v>
      </c>
      <c r="G386" t="s">
        <v>80</v>
      </c>
      <c r="H386" t="s">
        <v>1077</v>
      </c>
      <c r="I386" t="s">
        <v>67</v>
      </c>
      <c r="J386" t="s">
        <v>51</v>
      </c>
      <c r="K386">
        <v>12</v>
      </c>
      <c r="L386">
        <v>47567</v>
      </c>
      <c r="M386">
        <v>23994</v>
      </c>
      <c r="N386">
        <v>23573</v>
      </c>
      <c r="O386" s="6">
        <f>Table1[[#This Row],[Profit]]/Table1[[#This Row],[Sales_Amount]]</f>
        <v>0.49557466310677573</v>
      </c>
      <c r="P386" t="s">
        <v>121</v>
      </c>
    </row>
    <row r="387" spans="1:16" x14ac:dyDescent="0.35">
      <c r="A387" t="s">
        <v>1078</v>
      </c>
      <c r="B387" t="s">
        <v>206</v>
      </c>
      <c r="C387" t="str">
        <f>TEXT(Table1[[#This Row],[Order_Date]],"mmm")</f>
        <v>Jan</v>
      </c>
      <c r="D387">
        <f>YEAR(Table1[[#This Row],[Order_Date]])</f>
        <v>2025</v>
      </c>
      <c r="E387" t="s">
        <v>46</v>
      </c>
      <c r="F387" t="s">
        <v>47</v>
      </c>
      <c r="G387" t="s">
        <v>48</v>
      </c>
      <c r="H387" t="s">
        <v>1079</v>
      </c>
      <c r="I387" t="s">
        <v>59</v>
      </c>
      <c r="J387" t="s">
        <v>51</v>
      </c>
      <c r="K387">
        <v>19</v>
      </c>
      <c r="L387">
        <v>97864</v>
      </c>
      <c r="M387">
        <v>76861</v>
      </c>
      <c r="N387">
        <v>21003</v>
      </c>
      <c r="O387" s="6">
        <f>Table1[[#This Row],[Profit]]/Table1[[#This Row],[Sales_Amount]]</f>
        <v>0.21461415842393525</v>
      </c>
      <c r="P387" t="s">
        <v>52</v>
      </c>
    </row>
    <row r="388" spans="1:16" x14ac:dyDescent="0.35">
      <c r="A388" t="s">
        <v>1080</v>
      </c>
      <c r="B388" t="s">
        <v>1081</v>
      </c>
      <c r="C388" t="str">
        <f>TEXT(Table1[[#This Row],[Order_Date]],"mmm")</f>
        <v>Apr</v>
      </c>
      <c r="D388">
        <f>YEAR(Table1[[#This Row],[Order_Date]])</f>
        <v>2025</v>
      </c>
      <c r="E388" t="s">
        <v>46</v>
      </c>
      <c r="F388" t="s">
        <v>47</v>
      </c>
      <c r="G388" t="s">
        <v>138</v>
      </c>
      <c r="H388" t="s">
        <v>1082</v>
      </c>
      <c r="I388" t="s">
        <v>156</v>
      </c>
      <c r="J388" t="s">
        <v>157</v>
      </c>
      <c r="K388">
        <v>15</v>
      </c>
      <c r="L388">
        <v>60377</v>
      </c>
      <c r="M388">
        <v>50620</v>
      </c>
      <c r="N388">
        <v>9757</v>
      </c>
      <c r="O388" s="6">
        <f>Table1[[#This Row],[Profit]]/Table1[[#This Row],[Sales_Amount]]</f>
        <v>0.16160127200755253</v>
      </c>
      <c r="P388" t="s">
        <v>60</v>
      </c>
    </row>
    <row r="389" spans="1:16" x14ac:dyDescent="0.35">
      <c r="A389" t="s">
        <v>1083</v>
      </c>
      <c r="B389" t="s">
        <v>1084</v>
      </c>
      <c r="C389" t="str">
        <f>TEXT(Table1[[#This Row],[Order_Date]],"mmm")</f>
        <v>Oct</v>
      </c>
      <c r="D389">
        <f>YEAR(Table1[[#This Row],[Order_Date]])</f>
        <v>2025</v>
      </c>
      <c r="E389" t="s">
        <v>55</v>
      </c>
      <c r="F389" t="s">
        <v>56</v>
      </c>
      <c r="G389" t="s">
        <v>80</v>
      </c>
      <c r="H389" t="s">
        <v>1085</v>
      </c>
      <c r="I389" t="s">
        <v>59</v>
      </c>
      <c r="J389" t="s">
        <v>51</v>
      </c>
      <c r="K389">
        <v>11</v>
      </c>
      <c r="L389">
        <v>81576</v>
      </c>
      <c r="M389">
        <v>43813</v>
      </c>
      <c r="N389">
        <v>37763</v>
      </c>
      <c r="O389" s="6">
        <f>Table1[[#This Row],[Profit]]/Table1[[#This Row],[Sales_Amount]]</f>
        <v>0.4629180151024811</v>
      </c>
      <c r="P389" t="s">
        <v>98</v>
      </c>
    </row>
    <row r="390" spans="1:16" x14ac:dyDescent="0.35">
      <c r="A390" t="s">
        <v>1086</v>
      </c>
      <c r="B390" t="s">
        <v>1056</v>
      </c>
      <c r="C390" t="str">
        <f>TEXT(Table1[[#This Row],[Order_Date]],"mmm")</f>
        <v>Jun</v>
      </c>
      <c r="D390">
        <f>YEAR(Table1[[#This Row],[Order_Date]])</f>
        <v>2025</v>
      </c>
      <c r="E390" t="s">
        <v>111</v>
      </c>
      <c r="F390" t="s">
        <v>169</v>
      </c>
      <c r="G390" t="s">
        <v>138</v>
      </c>
      <c r="H390" t="s">
        <v>1087</v>
      </c>
      <c r="I390" t="s">
        <v>125</v>
      </c>
      <c r="J390" t="s">
        <v>83</v>
      </c>
      <c r="K390">
        <v>10</v>
      </c>
      <c r="L390">
        <v>91545</v>
      </c>
      <c r="M390">
        <v>59808</v>
      </c>
      <c r="N390">
        <v>31737</v>
      </c>
      <c r="O390" s="6">
        <f>Table1[[#This Row],[Profit]]/Table1[[#This Row],[Sales_Amount]]</f>
        <v>0.34668195969195476</v>
      </c>
      <c r="P390" t="s">
        <v>52</v>
      </c>
    </row>
    <row r="391" spans="1:16" x14ac:dyDescent="0.35">
      <c r="A391" t="s">
        <v>1088</v>
      </c>
      <c r="B391" t="s">
        <v>1089</v>
      </c>
      <c r="C391" t="str">
        <f>TEXT(Table1[[#This Row],[Order_Date]],"mmm")</f>
        <v>Aug</v>
      </c>
      <c r="D391">
        <f>YEAR(Table1[[#This Row],[Order_Date]])</f>
        <v>2025</v>
      </c>
      <c r="E391" t="s">
        <v>55</v>
      </c>
      <c r="F391" t="s">
        <v>56</v>
      </c>
      <c r="G391" t="s">
        <v>138</v>
      </c>
      <c r="H391" t="s">
        <v>1090</v>
      </c>
      <c r="I391" t="s">
        <v>143</v>
      </c>
      <c r="J391" t="s">
        <v>51</v>
      </c>
      <c r="K391">
        <v>25</v>
      </c>
      <c r="L391">
        <v>47316</v>
      </c>
      <c r="M391">
        <v>22355</v>
      </c>
      <c r="N391">
        <v>24961</v>
      </c>
      <c r="O391" s="6">
        <f>Table1[[#This Row],[Profit]]/Table1[[#This Row],[Sales_Amount]]</f>
        <v>0.52753825344492344</v>
      </c>
      <c r="P391" t="s">
        <v>98</v>
      </c>
    </row>
    <row r="392" spans="1:16" x14ac:dyDescent="0.35">
      <c r="A392" t="s">
        <v>1091</v>
      </c>
      <c r="B392" t="s">
        <v>90</v>
      </c>
      <c r="C392" t="str">
        <f>TEXT(Table1[[#This Row],[Order_Date]],"mmm")</f>
        <v>Dec</v>
      </c>
      <c r="D392">
        <f>YEAR(Table1[[#This Row],[Order_Date]])</f>
        <v>2025</v>
      </c>
      <c r="E392" t="s">
        <v>111</v>
      </c>
      <c r="F392" t="s">
        <v>169</v>
      </c>
      <c r="G392" t="s">
        <v>70</v>
      </c>
      <c r="H392" t="s">
        <v>1092</v>
      </c>
      <c r="I392" t="s">
        <v>59</v>
      </c>
      <c r="J392" t="s">
        <v>51</v>
      </c>
      <c r="K392">
        <v>15</v>
      </c>
      <c r="L392">
        <v>106962</v>
      </c>
      <c r="M392">
        <v>51069</v>
      </c>
      <c r="N392">
        <v>55893</v>
      </c>
      <c r="O392" s="6">
        <f>Table1[[#This Row],[Profit]]/Table1[[#This Row],[Sales_Amount]]</f>
        <v>0.52255006450889097</v>
      </c>
      <c r="P392" t="s">
        <v>121</v>
      </c>
    </row>
    <row r="393" spans="1:16" x14ac:dyDescent="0.35">
      <c r="A393" t="s">
        <v>1093</v>
      </c>
      <c r="B393" t="s">
        <v>96</v>
      </c>
      <c r="C393" t="str">
        <f>TEXT(Table1[[#This Row],[Order_Date]],"mmm")</f>
        <v>Mar</v>
      </c>
      <c r="D393">
        <f>YEAR(Table1[[#This Row],[Order_Date]])</f>
        <v>2025</v>
      </c>
      <c r="E393" t="s">
        <v>111</v>
      </c>
      <c r="F393" t="s">
        <v>112</v>
      </c>
      <c r="G393" t="s">
        <v>138</v>
      </c>
      <c r="H393" t="s">
        <v>1094</v>
      </c>
      <c r="I393" t="s">
        <v>50</v>
      </c>
      <c r="J393" t="s">
        <v>51</v>
      </c>
      <c r="K393">
        <v>21</v>
      </c>
      <c r="L393">
        <v>21819</v>
      </c>
      <c r="M393">
        <v>17406</v>
      </c>
      <c r="N393">
        <v>4413</v>
      </c>
      <c r="O393" s="6">
        <f>Table1[[#This Row],[Profit]]/Table1[[#This Row],[Sales_Amount]]</f>
        <v>0.20225491544067098</v>
      </c>
      <c r="P393" t="s">
        <v>52</v>
      </c>
    </row>
    <row r="394" spans="1:16" x14ac:dyDescent="0.35">
      <c r="A394" t="s">
        <v>1095</v>
      </c>
      <c r="B394" t="s">
        <v>790</v>
      </c>
      <c r="C394" t="str">
        <f>TEXT(Table1[[#This Row],[Order_Date]],"mmm")</f>
        <v>Mar</v>
      </c>
      <c r="D394">
        <f>YEAR(Table1[[#This Row],[Order_Date]])</f>
        <v>2025</v>
      </c>
      <c r="E394" t="s">
        <v>63</v>
      </c>
      <c r="F394" t="s">
        <v>64</v>
      </c>
      <c r="G394" t="s">
        <v>80</v>
      </c>
      <c r="H394" t="s">
        <v>1096</v>
      </c>
      <c r="I394" t="s">
        <v>143</v>
      </c>
      <c r="J394" t="s">
        <v>51</v>
      </c>
      <c r="K394">
        <v>11</v>
      </c>
      <c r="L394">
        <v>63175</v>
      </c>
      <c r="M394">
        <v>40647</v>
      </c>
      <c r="N394">
        <v>22528</v>
      </c>
      <c r="O394" s="6">
        <f>Table1[[#This Row],[Profit]]/Table1[[#This Row],[Sales_Amount]]</f>
        <v>0.35659675504550853</v>
      </c>
      <c r="P394" t="s">
        <v>60</v>
      </c>
    </row>
    <row r="395" spans="1:16" x14ac:dyDescent="0.35">
      <c r="A395" t="s">
        <v>1097</v>
      </c>
      <c r="B395" t="s">
        <v>209</v>
      </c>
      <c r="C395" t="str">
        <f>TEXT(Table1[[#This Row],[Order_Date]],"mmm")</f>
        <v>Sep</v>
      </c>
      <c r="D395">
        <f>YEAR(Table1[[#This Row],[Order_Date]])</f>
        <v>2025</v>
      </c>
      <c r="E395" t="s">
        <v>111</v>
      </c>
      <c r="F395" t="s">
        <v>112</v>
      </c>
      <c r="G395" t="s">
        <v>80</v>
      </c>
      <c r="H395" t="s">
        <v>1098</v>
      </c>
      <c r="I395" t="s">
        <v>82</v>
      </c>
      <c r="J395" t="s">
        <v>83</v>
      </c>
      <c r="K395">
        <v>14</v>
      </c>
      <c r="L395">
        <v>78843</v>
      </c>
      <c r="M395">
        <v>40768</v>
      </c>
      <c r="N395">
        <v>38075</v>
      </c>
      <c r="O395" s="6">
        <f>Table1[[#This Row],[Profit]]/Table1[[#This Row],[Sales_Amount]]</f>
        <v>0.48292175589462605</v>
      </c>
      <c r="P395" t="s">
        <v>52</v>
      </c>
    </row>
    <row r="396" spans="1:16" x14ac:dyDescent="0.35">
      <c r="A396" t="s">
        <v>1099</v>
      </c>
      <c r="B396" t="s">
        <v>515</v>
      </c>
      <c r="C396" t="str">
        <f>TEXT(Table1[[#This Row],[Order_Date]],"mmm")</f>
        <v>Nov</v>
      </c>
      <c r="D396">
        <f>YEAR(Table1[[#This Row],[Order_Date]])</f>
        <v>2025</v>
      </c>
      <c r="E396" t="s">
        <v>111</v>
      </c>
      <c r="F396" t="s">
        <v>112</v>
      </c>
      <c r="G396" t="s">
        <v>128</v>
      </c>
      <c r="H396" t="s">
        <v>1100</v>
      </c>
      <c r="I396" t="s">
        <v>87</v>
      </c>
      <c r="J396" t="s">
        <v>88</v>
      </c>
      <c r="K396">
        <v>8</v>
      </c>
      <c r="L396">
        <v>102766</v>
      </c>
      <c r="M396">
        <v>46267</v>
      </c>
      <c r="N396">
        <v>56499</v>
      </c>
      <c r="O396" s="6">
        <f>Table1[[#This Row],[Profit]]/Table1[[#This Row],[Sales_Amount]]</f>
        <v>0.54978300216024756</v>
      </c>
      <c r="P396" t="s">
        <v>52</v>
      </c>
    </row>
    <row r="397" spans="1:16" x14ac:dyDescent="0.35">
      <c r="A397" t="s">
        <v>1101</v>
      </c>
      <c r="B397" t="s">
        <v>690</v>
      </c>
      <c r="C397" t="str">
        <f>TEXT(Table1[[#This Row],[Order_Date]],"mmm")</f>
        <v>Jul</v>
      </c>
      <c r="D397">
        <f>YEAR(Table1[[#This Row],[Order_Date]])</f>
        <v>2025</v>
      </c>
      <c r="E397" t="s">
        <v>111</v>
      </c>
      <c r="F397" t="s">
        <v>169</v>
      </c>
      <c r="G397" t="s">
        <v>138</v>
      </c>
      <c r="H397" t="s">
        <v>1102</v>
      </c>
      <c r="I397" t="s">
        <v>67</v>
      </c>
      <c r="J397" t="s">
        <v>51</v>
      </c>
      <c r="K397">
        <v>5</v>
      </c>
      <c r="L397">
        <v>107327</v>
      </c>
      <c r="M397">
        <v>58166</v>
      </c>
      <c r="N397">
        <v>49161</v>
      </c>
      <c r="O397" s="6">
        <f>Table1[[#This Row],[Profit]]/Table1[[#This Row],[Sales_Amount]]</f>
        <v>0.45804876685270252</v>
      </c>
      <c r="P397" t="s">
        <v>121</v>
      </c>
    </row>
    <row r="398" spans="1:16" x14ac:dyDescent="0.35">
      <c r="A398" t="s">
        <v>1103</v>
      </c>
      <c r="B398" t="s">
        <v>625</v>
      </c>
      <c r="C398" t="str">
        <f>TEXT(Table1[[#This Row],[Order_Date]],"mmm")</f>
        <v>May</v>
      </c>
      <c r="D398">
        <f>YEAR(Table1[[#This Row],[Order_Date]])</f>
        <v>2025</v>
      </c>
      <c r="E398" t="s">
        <v>63</v>
      </c>
      <c r="F398" t="s">
        <v>104</v>
      </c>
      <c r="G398" t="s">
        <v>80</v>
      </c>
      <c r="H398" t="s">
        <v>1104</v>
      </c>
      <c r="I398" t="s">
        <v>67</v>
      </c>
      <c r="J398" t="s">
        <v>51</v>
      </c>
      <c r="K398">
        <v>19</v>
      </c>
      <c r="L398">
        <v>23342</v>
      </c>
      <c r="M398">
        <v>13961</v>
      </c>
      <c r="N398">
        <v>9381</v>
      </c>
      <c r="O398" s="6">
        <f>Table1[[#This Row],[Profit]]/Table1[[#This Row],[Sales_Amount]]</f>
        <v>0.40189358238368605</v>
      </c>
      <c r="P398" t="s">
        <v>52</v>
      </c>
    </row>
    <row r="399" spans="1:16" x14ac:dyDescent="0.35">
      <c r="A399" t="s">
        <v>1105</v>
      </c>
      <c r="B399" t="s">
        <v>154</v>
      </c>
      <c r="C399" t="str">
        <f>TEXT(Table1[[#This Row],[Order_Date]],"mmm")</f>
        <v>Dec</v>
      </c>
      <c r="D399">
        <f>YEAR(Table1[[#This Row],[Order_Date]])</f>
        <v>2025</v>
      </c>
      <c r="E399" t="s">
        <v>46</v>
      </c>
      <c r="F399" t="s">
        <v>74</v>
      </c>
      <c r="G399" t="s">
        <v>70</v>
      </c>
      <c r="H399" t="s">
        <v>1106</v>
      </c>
      <c r="I399" t="s">
        <v>50</v>
      </c>
      <c r="J399" t="s">
        <v>51</v>
      </c>
      <c r="K399">
        <v>4</v>
      </c>
      <c r="L399">
        <v>20698</v>
      </c>
      <c r="M399">
        <v>15994</v>
      </c>
      <c r="N399">
        <v>4704</v>
      </c>
      <c r="O399" s="6">
        <f>Table1[[#This Row],[Profit]]/Table1[[#This Row],[Sales_Amount]]</f>
        <v>0.22726833510484104</v>
      </c>
      <c r="P399" t="s">
        <v>98</v>
      </c>
    </row>
    <row r="400" spans="1:16" x14ac:dyDescent="0.35">
      <c r="A400" t="s">
        <v>1107</v>
      </c>
      <c r="B400" t="s">
        <v>849</v>
      </c>
      <c r="C400" t="str">
        <f>TEXT(Table1[[#This Row],[Order_Date]],"mmm")</f>
        <v>Apr</v>
      </c>
      <c r="D400">
        <f>YEAR(Table1[[#This Row],[Order_Date]])</f>
        <v>2025</v>
      </c>
      <c r="E400" t="s">
        <v>55</v>
      </c>
      <c r="F400" t="s">
        <v>188</v>
      </c>
      <c r="G400" t="s">
        <v>57</v>
      </c>
      <c r="H400" t="s">
        <v>1108</v>
      </c>
      <c r="I400" t="s">
        <v>67</v>
      </c>
      <c r="J400" t="s">
        <v>51</v>
      </c>
      <c r="K400">
        <v>22</v>
      </c>
      <c r="L400">
        <v>93286</v>
      </c>
      <c r="M400">
        <v>48502</v>
      </c>
      <c r="N400">
        <v>44784</v>
      </c>
      <c r="O400" s="6">
        <f>Table1[[#This Row],[Profit]]/Table1[[#This Row],[Sales_Amount]]</f>
        <v>0.48007203653281305</v>
      </c>
      <c r="P400" t="s">
        <v>60</v>
      </c>
    </row>
    <row r="401" spans="1:16" x14ac:dyDescent="0.35">
      <c r="A401" t="s">
        <v>1109</v>
      </c>
      <c r="B401" t="s">
        <v>342</v>
      </c>
      <c r="C401" t="str">
        <f>TEXT(Table1[[#This Row],[Order_Date]],"mmm")</f>
        <v>Jun</v>
      </c>
      <c r="D401">
        <f>YEAR(Table1[[#This Row],[Order_Date]])</f>
        <v>2025</v>
      </c>
      <c r="E401" t="s">
        <v>63</v>
      </c>
      <c r="F401" t="s">
        <v>64</v>
      </c>
      <c r="G401" t="s">
        <v>65</v>
      </c>
      <c r="H401" t="s">
        <v>1110</v>
      </c>
      <c r="I401" t="s">
        <v>156</v>
      </c>
      <c r="J401" t="s">
        <v>157</v>
      </c>
      <c r="K401">
        <v>3</v>
      </c>
      <c r="L401">
        <v>78189</v>
      </c>
      <c r="M401">
        <v>59774</v>
      </c>
      <c r="N401">
        <v>18415</v>
      </c>
      <c r="O401" s="6">
        <f>Table1[[#This Row],[Profit]]/Table1[[#This Row],[Sales_Amount]]</f>
        <v>0.23551906278376752</v>
      </c>
      <c r="P401" t="s">
        <v>98</v>
      </c>
    </row>
    <row r="402" spans="1:16" x14ac:dyDescent="0.35">
      <c r="A402" t="s">
        <v>1111</v>
      </c>
      <c r="B402" t="s">
        <v>284</v>
      </c>
      <c r="C402" t="str">
        <f>TEXT(Table1[[#This Row],[Order_Date]],"mmm")</f>
        <v>Dec</v>
      </c>
      <c r="D402">
        <f>YEAR(Table1[[#This Row],[Order_Date]])</f>
        <v>2025</v>
      </c>
      <c r="E402" t="s">
        <v>55</v>
      </c>
      <c r="F402" t="s">
        <v>56</v>
      </c>
      <c r="G402" t="s">
        <v>138</v>
      </c>
      <c r="H402" t="s">
        <v>1112</v>
      </c>
      <c r="I402" t="s">
        <v>50</v>
      </c>
      <c r="J402" t="s">
        <v>51</v>
      </c>
      <c r="K402">
        <v>3</v>
      </c>
      <c r="L402">
        <v>89083</v>
      </c>
      <c r="M402">
        <v>44784</v>
      </c>
      <c r="N402">
        <v>44299</v>
      </c>
      <c r="O402" s="6">
        <f>Table1[[#This Row],[Profit]]/Table1[[#This Row],[Sales_Amount]]</f>
        <v>0.4972778195615325</v>
      </c>
      <c r="P402" t="s">
        <v>121</v>
      </c>
    </row>
    <row r="403" spans="1:16" x14ac:dyDescent="0.35">
      <c r="A403" t="s">
        <v>1113</v>
      </c>
      <c r="B403" t="s">
        <v>1114</v>
      </c>
      <c r="C403" t="str">
        <f>TEXT(Table1[[#This Row],[Order_Date]],"mmm")</f>
        <v>Aug</v>
      </c>
      <c r="D403">
        <f>YEAR(Table1[[#This Row],[Order_Date]])</f>
        <v>2025</v>
      </c>
      <c r="E403" t="s">
        <v>111</v>
      </c>
      <c r="F403" t="s">
        <v>169</v>
      </c>
      <c r="G403" t="s">
        <v>138</v>
      </c>
      <c r="H403" t="s">
        <v>1115</v>
      </c>
      <c r="I403" t="s">
        <v>50</v>
      </c>
      <c r="J403" t="s">
        <v>51</v>
      </c>
      <c r="K403">
        <v>5</v>
      </c>
      <c r="L403">
        <v>89494</v>
      </c>
      <c r="M403">
        <v>41446</v>
      </c>
      <c r="N403">
        <v>48048</v>
      </c>
      <c r="O403" s="6">
        <f>Table1[[#This Row],[Profit]]/Table1[[#This Row],[Sales_Amount]]</f>
        <v>0.53688515431202088</v>
      </c>
      <c r="P403" t="s">
        <v>121</v>
      </c>
    </row>
    <row r="404" spans="1:16" x14ac:dyDescent="0.35">
      <c r="A404" t="s">
        <v>1116</v>
      </c>
      <c r="B404" t="s">
        <v>1117</v>
      </c>
      <c r="C404" t="str">
        <f>TEXT(Table1[[#This Row],[Order_Date]],"mmm")</f>
        <v>Sep</v>
      </c>
      <c r="D404">
        <f>YEAR(Table1[[#This Row],[Order_Date]])</f>
        <v>2025</v>
      </c>
      <c r="E404" t="s">
        <v>63</v>
      </c>
      <c r="F404" t="s">
        <v>64</v>
      </c>
      <c r="G404" t="s">
        <v>80</v>
      </c>
      <c r="H404" t="s">
        <v>1118</v>
      </c>
      <c r="I404" t="s">
        <v>87</v>
      </c>
      <c r="J404" t="s">
        <v>88</v>
      </c>
      <c r="K404">
        <v>13</v>
      </c>
      <c r="L404">
        <v>119798</v>
      </c>
      <c r="M404">
        <v>77138</v>
      </c>
      <c r="N404">
        <v>42660</v>
      </c>
      <c r="O404" s="6">
        <f>Table1[[#This Row],[Profit]]/Table1[[#This Row],[Sales_Amount]]</f>
        <v>0.35609943404731298</v>
      </c>
      <c r="P404" t="s">
        <v>98</v>
      </c>
    </row>
    <row r="405" spans="1:16" x14ac:dyDescent="0.35">
      <c r="A405" t="s">
        <v>1119</v>
      </c>
      <c r="B405" t="s">
        <v>898</v>
      </c>
      <c r="C405" t="str">
        <f>TEXT(Table1[[#This Row],[Order_Date]],"mmm")</f>
        <v>Apr</v>
      </c>
      <c r="D405">
        <f>YEAR(Table1[[#This Row],[Order_Date]])</f>
        <v>2025</v>
      </c>
      <c r="E405" t="s">
        <v>63</v>
      </c>
      <c r="F405" t="s">
        <v>64</v>
      </c>
      <c r="G405" t="s">
        <v>48</v>
      </c>
      <c r="H405" t="s">
        <v>1120</v>
      </c>
      <c r="I405" t="s">
        <v>67</v>
      </c>
      <c r="J405" t="s">
        <v>51</v>
      </c>
      <c r="K405">
        <v>4</v>
      </c>
      <c r="L405">
        <v>11952</v>
      </c>
      <c r="M405">
        <v>9851</v>
      </c>
      <c r="N405">
        <v>2101</v>
      </c>
      <c r="O405" s="6">
        <f>Table1[[#This Row],[Profit]]/Table1[[#This Row],[Sales_Amount]]</f>
        <v>0.17578647925033467</v>
      </c>
      <c r="P405" t="s">
        <v>60</v>
      </c>
    </row>
    <row r="406" spans="1:16" x14ac:dyDescent="0.35">
      <c r="A406" t="s">
        <v>1121</v>
      </c>
      <c r="B406" t="s">
        <v>1122</v>
      </c>
      <c r="C406" t="str">
        <f>TEXT(Table1[[#This Row],[Order_Date]],"mmm")</f>
        <v>Jun</v>
      </c>
      <c r="D406">
        <f>YEAR(Table1[[#This Row],[Order_Date]])</f>
        <v>2025</v>
      </c>
      <c r="E406" t="s">
        <v>63</v>
      </c>
      <c r="F406" t="s">
        <v>64</v>
      </c>
      <c r="G406" t="s">
        <v>116</v>
      </c>
      <c r="H406" t="s">
        <v>1123</v>
      </c>
      <c r="I406" t="s">
        <v>87</v>
      </c>
      <c r="J406" t="s">
        <v>88</v>
      </c>
      <c r="K406">
        <v>18</v>
      </c>
      <c r="L406">
        <v>47919</v>
      </c>
      <c r="M406">
        <v>40376</v>
      </c>
      <c r="N406">
        <v>7543</v>
      </c>
      <c r="O406" s="6">
        <f>Table1[[#This Row],[Profit]]/Table1[[#This Row],[Sales_Amount]]</f>
        <v>0.15741146518082597</v>
      </c>
      <c r="P406" t="s">
        <v>60</v>
      </c>
    </row>
    <row r="407" spans="1:16" x14ac:dyDescent="0.35">
      <c r="A407" t="s">
        <v>1124</v>
      </c>
      <c r="B407" t="s">
        <v>141</v>
      </c>
      <c r="C407" t="str">
        <f>TEXT(Table1[[#This Row],[Order_Date]],"mmm")</f>
        <v>Sep</v>
      </c>
      <c r="D407">
        <f>YEAR(Table1[[#This Row],[Order_Date]])</f>
        <v>2025</v>
      </c>
      <c r="E407" t="s">
        <v>111</v>
      </c>
      <c r="F407" t="s">
        <v>112</v>
      </c>
      <c r="G407" t="s">
        <v>48</v>
      </c>
      <c r="H407" t="s">
        <v>1125</v>
      </c>
      <c r="I407" t="s">
        <v>87</v>
      </c>
      <c r="J407" t="s">
        <v>88</v>
      </c>
      <c r="K407">
        <v>3</v>
      </c>
      <c r="L407">
        <v>53286</v>
      </c>
      <c r="M407">
        <v>39781</v>
      </c>
      <c r="N407">
        <v>13505</v>
      </c>
      <c r="O407" s="6">
        <f>Table1[[#This Row],[Profit]]/Table1[[#This Row],[Sales_Amount]]</f>
        <v>0.25344368126712458</v>
      </c>
      <c r="P407" t="s">
        <v>98</v>
      </c>
    </row>
    <row r="408" spans="1:16" x14ac:dyDescent="0.35">
      <c r="A408" t="s">
        <v>1126</v>
      </c>
      <c r="B408" t="s">
        <v>1127</v>
      </c>
      <c r="C408" t="str">
        <f>TEXT(Table1[[#This Row],[Order_Date]],"mmm")</f>
        <v>Nov</v>
      </c>
      <c r="D408">
        <f>YEAR(Table1[[#This Row],[Order_Date]])</f>
        <v>2025</v>
      </c>
      <c r="E408" t="s">
        <v>46</v>
      </c>
      <c r="F408" t="s">
        <v>74</v>
      </c>
      <c r="G408" t="s">
        <v>70</v>
      </c>
      <c r="H408" t="s">
        <v>1128</v>
      </c>
      <c r="I408" t="s">
        <v>156</v>
      </c>
      <c r="J408" t="s">
        <v>157</v>
      </c>
      <c r="K408">
        <v>13</v>
      </c>
      <c r="L408">
        <v>106340</v>
      </c>
      <c r="M408">
        <v>81148</v>
      </c>
      <c r="N408">
        <v>25192</v>
      </c>
      <c r="O408" s="6">
        <f>Table1[[#This Row],[Profit]]/Table1[[#This Row],[Sales_Amount]]</f>
        <v>0.23690050780515329</v>
      </c>
      <c r="P408" t="s">
        <v>98</v>
      </c>
    </row>
    <row r="409" spans="1:16" x14ac:dyDescent="0.35">
      <c r="A409" t="s">
        <v>1129</v>
      </c>
      <c r="B409" t="s">
        <v>1130</v>
      </c>
      <c r="C409" t="str">
        <f>TEXT(Table1[[#This Row],[Order_Date]],"mmm")</f>
        <v>Nov</v>
      </c>
      <c r="D409">
        <f>YEAR(Table1[[#This Row],[Order_Date]])</f>
        <v>2025</v>
      </c>
      <c r="E409" t="s">
        <v>63</v>
      </c>
      <c r="F409" t="s">
        <v>104</v>
      </c>
      <c r="G409" t="s">
        <v>138</v>
      </c>
      <c r="H409" t="s">
        <v>1131</v>
      </c>
      <c r="I409" t="s">
        <v>59</v>
      </c>
      <c r="J409" t="s">
        <v>51</v>
      </c>
      <c r="K409">
        <v>2</v>
      </c>
      <c r="L409">
        <v>39718</v>
      </c>
      <c r="M409">
        <v>27019</v>
      </c>
      <c r="N409">
        <v>12699</v>
      </c>
      <c r="O409" s="6">
        <f>Table1[[#This Row],[Profit]]/Table1[[#This Row],[Sales_Amount]]</f>
        <v>0.31972909008509998</v>
      </c>
      <c r="P409" t="s">
        <v>98</v>
      </c>
    </row>
    <row r="410" spans="1:16" x14ac:dyDescent="0.35">
      <c r="A410" t="s">
        <v>1132</v>
      </c>
      <c r="B410" t="s">
        <v>1133</v>
      </c>
      <c r="C410" t="str">
        <f>TEXT(Table1[[#This Row],[Order_Date]],"mmm")</f>
        <v>Jan</v>
      </c>
      <c r="D410">
        <f>YEAR(Table1[[#This Row],[Order_Date]])</f>
        <v>2025</v>
      </c>
      <c r="E410" t="s">
        <v>111</v>
      </c>
      <c r="F410" t="s">
        <v>112</v>
      </c>
      <c r="G410" t="s">
        <v>80</v>
      </c>
      <c r="H410" t="s">
        <v>1134</v>
      </c>
      <c r="I410" t="s">
        <v>82</v>
      </c>
      <c r="J410" t="s">
        <v>83</v>
      </c>
      <c r="K410">
        <v>23</v>
      </c>
      <c r="L410">
        <v>38961</v>
      </c>
      <c r="M410">
        <v>20424</v>
      </c>
      <c r="N410">
        <v>18537</v>
      </c>
      <c r="O410" s="6">
        <f>Table1[[#This Row],[Profit]]/Table1[[#This Row],[Sales_Amount]]</f>
        <v>0.4757834757834758</v>
      </c>
      <c r="P410" t="s">
        <v>52</v>
      </c>
    </row>
    <row r="411" spans="1:16" x14ac:dyDescent="0.35">
      <c r="A411" t="s">
        <v>1135</v>
      </c>
      <c r="B411" t="s">
        <v>342</v>
      </c>
      <c r="C411" t="str">
        <f>TEXT(Table1[[#This Row],[Order_Date]],"mmm")</f>
        <v>Jun</v>
      </c>
      <c r="D411">
        <f>YEAR(Table1[[#This Row],[Order_Date]])</f>
        <v>2025</v>
      </c>
      <c r="E411" t="s">
        <v>111</v>
      </c>
      <c r="F411" t="s">
        <v>112</v>
      </c>
      <c r="G411" t="s">
        <v>80</v>
      </c>
      <c r="H411" t="s">
        <v>1136</v>
      </c>
      <c r="I411" t="s">
        <v>59</v>
      </c>
      <c r="J411" t="s">
        <v>51</v>
      </c>
      <c r="K411">
        <v>13</v>
      </c>
      <c r="L411">
        <v>98232</v>
      </c>
      <c r="M411">
        <v>79086</v>
      </c>
      <c r="N411">
        <v>19146</v>
      </c>
      <c r="O411" s="6">
        <f>Table1[[#This Row],[Profit]]/Table1[[#This Row],[Sales_Amount]]</f>
        <v>0.19490593696555095</v>
      </c>
      <c r="P411" t="s">
        <v>121</v>
      </c>
    </row>
    <row r="412" spans="1:16" x14ac:dyDescent="0.35">
      <c r="A412" t="s">
        <v>1137</v>
      </c>
      <c r="B412" t="s">
        <v>268</v>
      </c>
      <c r="C412" t="str">
        <f>TEXT(Table1[[#This Row],[Order_Date]],"mmm")</f>
        <v>Oct</v>
      </c>
      <c r="D412">
        <f>YEAR(Table1[[#This Row],[Order_Date]])</f>
        <v>2025</v>
      </c>
      <c r="E412" t="s">
        <v>46</v>
      </c>
      <c r="F412" t="s">
        <v>74</v>
      </c>
      <c r="G412" t="s">
        <v>116</v>
      </c>
      <c r="H412" t="s">
        <v>1138</v>
      </c>
      <c r="I412" t="s">
        <v>82</v>
      </c>
      <c r="J412" t="s">
        <v>83</v>
      </c>
      <c r="K412">
        <v>25</v>
      </c>
      <c r="L412">
        <v>55011</v>
      </c>
      <c r="M412">
        <v>45132</v>
      </c>
      <c r="N412">
        <v>9879</v>
      </c>
      <c r="O412" s="6">
        <f>Table1[[#This Row],[Profit]]/Table1[[#This Row],[Sales_Amount]]</f>
        <v>0.1795822653651088</v>
      </c>
      <c r="P412" t="s">
        <v>60</v>
      </c>
    </row>
    <row r="413" spans="1:16" x14ac:dyDescent="0.35">
      <c r="A413" t="s">
        <v>1139</v>
      </c>
      <c r="B413" t="s">
        <v>849</v>
      </c>
      <c r="C413" t="str">
        <f>TEXT(Table1[[#This Row],[Order_Date]],"mmm")</f>
        <v>Apr</v>
      </c>
      <c r="D413">
        <f>YEAR(Table1[[#This Row],[Order_Date]])</f>
        <v>2025</v>
      </c>
      <c r="E413" t="s">
        <v>55</v>
      </c>
      <c r="F413" t="s">
        <v>56</v>
      </c>
      <c r="G413" t="s">
        <v>57</v>
      </c>
      <c r="H413" t="s">
        <v>1140</v>
      </c>
      <c r="I413" t="s">
        <v>125</v>
      </c>
      <c r="J413" t="s">
        <v>83</v>
      </c>
      <c r="K413">
        <v>5</v>
      </c>
      <c r="L413">
        <v>88579</v>
      </c>
      <c r="M413">
        <v>44248</v>
      </c>
      <c r="N413">
        <v>44331</v>
      </c>
      <c r="O413" s="6">
        <f>Table1[[#This Row],[Profit]]/Table1[[#This Row],[Sales_Amount]]</f>
        <v>0.50046850833719048</v>
      </c>
      <c r="P413" t="s">
        <v>60</v>
      </c>
    </row>
    <row r="414" spans="1:16" x14ac:dyDescent="0.35">
      <c r="A414" t="s">
        <v>1141</v>
      </c>
      <c r="B414" t="s">
        <v>793</v>
      </c>
      <c r="C414" t="str">
        <f>TEXT(Table1[[#This Row],[Order_Date]],"mmm")</f>
        <v>Feb</v>
      </c>
      <c r="D414">
        <f>YEAR(Table1[[#This Row],[Order_Date]])</f>
        <v>2025</v>
      </c>
      <c r="E414" t="s">
        <v>46</v>
      </c>
      <c r="F414" t="s">
        <v>47</v>
      </c>
      <c r="G414" t="s">
        <v>128</v>
      </c>
      <c r="H414" t="s">
        <v>1142</v>
      </c>
      <c r="I414" t="s">
        <v>67</v>
      </c>
      <c r="J414" t="s">
        <v>51</v>
      </c>
      <c r="K414">
        <v>3</v>
      </c>
      <c r="L414">
        <v>111408</v>
      </c>
      <c r="M414">
        <v>56893</v>
      </c>
      <c r="N414">
        <v>54515</v>
      </c>
      <c r="O414" s="6">
        <f>Table1[[#This Row],[Profit]]/Table1[[#This Row],[Sales_Amount]]</f>
        <v>0.48932751687491022</v>
      </c>
      <c r="P414" t="s">
        <v>52</v>
      </c>
    </row>
    <row r="415" spans="1:16" x14ac:dyDescent="0.35">
      <c r="A415" t="s">
        <v>1143</v>
      </c>
      <c r="B415" t="s">
        <v>907</v>
      </c>
      <c r="C415" t="str">
        <f>TEXT(Table1[[#This Row],[Order_Date]],"mmm")</f>
        <v>May</v>
      </c>
      <c r="D415">
        <f>YEAR(Table1[[#This Row],[Order_Date]])</f>
        <v>2025</v>
      </c>
      <c r="E415" t="s">
        <v>55</v>
      </c>
      <c r="F415" t="s">
        <v>56</v>
      </c>
      <c r="G415" t="s">
        <v>57</v>
      </c>
      <c r="H415" t="s">
        <v>1144</v>
      </c>
      <c r="I415" t="s">
        <v>50</v>
      </c>
      <c r="J415" t="s">
        <v>51</v>
      </c>
      <c r="K415">
        <v>13</v>
      </c>
      <c r="L415">
        <v>20872</v>
      </c>
      <c r="M415">
        <v>16759</v>
      </c>
      <c r="N415">
        <v>4113</v>
      </c>
      <c r="O415" s="6">
        <f>Table1[[#This Row],[Profit]]/Table1[[#This Row],[Sales_Amount]]</f>
        <v>0.19705825986968187</v>
      </c>
      <c r="P415" t="s">
        <v>98</v>
      </c>
    </row>
    <row r="416" spans="1:16" x14ac:dyDescent="0.35">
      <c r="A416" t="s">
        <v>1145</v>
      </c>
      <c r="B416" t="s">
        <v>849</v>
      </c>
      <c r="C416" t="str">
        <f>TEXT(Table1[[#This Row],[Order_Date]],"mmm")</f>
        <v>Apr</v>
      </c>
      <c r="D416">
        <f>YEAR(Table1[[#This Row],[Order_Date]])</f>
        <v>2025</v>
      </c>
      <c r="E416" t="s">
        <v>111</v>
      </c>
      <c r="F416" t="s">
        <v>112</v>
      </c>
      <c r="G416" t="s">
        <v>65</v>
      </c>
      <c r="H416" t="s">
        <v>1146</v>
      </c>
      <c r="I416" t="s">
        <v>87</v>
      </c>
      <c r="J416" t="s">
        <v>88</v>
      </c>
      <c r="K416">
        <v>1</v>
      </c>
      <c r="L416">
        <v>54291</v>
      </c>
      <c r="M416">
        <v>32219</v>
      </c>
      <c r="N416">
        <v>22072</v>
      </c>
      <c r="O416" s="6">
        <f>Table1[[#This Row],[Profit]]/Table1[[#This Row],[Sales_Amount]]</f>
        <v>0.40654988856348195</v>
      </c>
      <c r="P416" t="s">
        <v>52</v>
      </c>
    </row>
    <row r="417" spans="1:16" x14ac:dyDescent="0.35">
      <c r="A417" t="s">
        <v>1147</v>
      </c>
      <c r="B417" t="s">
        <v>1148</v>
      </c>
      <c r="C417" t="str">
        <f>TEXT(Table1[[#This Row],[Order_Date]],"mmm")</f>
        <v>Aug</v>
      </c>
      <c r="D417">
        <f>YEAR(Table1[[#This Row],[Order_Date]])</f>
        <v>2025</v>
      </c>
      <c r="E417" t="s">
        <v>55</v>
      </c>
      <c r="F417" t="s">
        <v>188</v>
      </c>
      <c r="G417" t="s">
        <v>70</v>
      </c>
      <c r="H417" t="s">
        <v>1149</v>
      </c>
      <c r="I417" t="s">
        <v>125</v>
      </c>
      <c r="J417" t="s">
        <v>83</v>
      </c>
      <c r="K417">
        <v>20</v>
      </c>
      <c r="L417">
        <v>86721</v>
      </c>
      <c r="M417">
        <v>51587</v>
      </c>
      <c r="N417">
        <v>35134</v>
      </c>
      <c r="O417" s="6">
        <f>Table1[[#This Row],[Profit]]/Table1[[#This Row],[Sales_Amount]]</f>
        <v>0.40513831713195192</v>
      </c>
      <c r="P417" t="s">
        <v>52</v>
      </c>
    </row>
    <row r="418" spans="1:16" x14ac:dyDescent="0.35">
      <c r="A418" t="s">
        <v>1150</v>
      </c>
      <c r="B418" t="s">
        <v>1117</v>
      </c>
      <c r="C418" t="str">
        <f>TEXT(Table1[[#This Row],[Order_Date]],"mmm")</f>
        <v>Sep</v>
      </c>
      <c r="D418">
        <f>YEAR(Table1[[#This Row],[Order_Date]])</f>
        <v>2025</v>
      </c>
      <c r="E418" t="s">
        <v>63</v>
      </c>
      <c r="F418" t="s">
        <v>64</v>
      </c>
      <c r="G418" t="s">
        <v>138</v>
      </c>
      <c r="H418" t="s">
        <v>1151</v>
      </c>
      <c r="I418" t="s">
        <v>87</v>
      </c>
      <c r="J418" t="s">
        <v>88</v>
      </c>
      <c r="K418">
        <v>7</v>
      </c>
      <c r="L418">
        <v>41772</v>
      </c>
      <c r="M418">
        <v>35412</v>
      </c>
      <c r="N418">
        <v>6360</v>
      </c>
      <c r="O418" s="6">
        <f>Table1[[#This Row],[Profit]]/Table1[[#This Row],[Sales_Amount]]</f>
        <v>0.15225509910945131</v>
      </c>
      <c r="P418" t="s">
        <v>60</v>
      </c>
    </row>
    <row r="419" spans="1:16" x14ac:dyDescent="0.35">
      <c r="A419" t="s">
        <v>1152</v>
      </c>
      <c r="B419" t="s">
        <v>1051</v>
      </c>
      <c r="C419" t="str">
        <f>TEXT(Table1[[#This Row],[Order_Date]],"mmm")</f>
        <v>Sep</v>
      </c>
      <c r="D419">
        <f>YEAR(Table1[[#This Row],[Order_Date]])</f>
        <v>2025</v>
      </c>
      <c r="E419" t="s">
        <v>55</v>
      </c>
      <c r="F419" t="s">
        <v>188</v>
      </c>
      <c r="G419" t="s">
        <v>65</v>
      </c>
      <c r="H419" t="s">
        <v>1153</v>
      </c>
      <c r="I419" t="s">
        <v>59</v>
      </c>
      <c r="J419" t="s">
        <v>51</v>
      </c>
      <c r="K419">
        <v>15</v>
      </c>
      <c r="L419">
        <v>76211</v>
      </c>
      <c r="M419">
        <v>43469</v>
      </c>
      <c r="N419">
        <v>32742</v>
      </c>
      <c r="O419" s="6">
        <f>Table1[[#This Row],[Profit]]/Table1[[#This Row],[Sales_Amount]]</f>
        <v>0.42962302029890698</v>
      </c>
      <c r="P419" t="s">
        <v>98</v>
      </c>
    </row>
    <row r="420" spans="1:16" x14ac:dyDescent="0.35">
      <c r="A420" t="s">
        <v>1154</v>
      </c>
      <c r="B420" t="s">
        <v>226</v>
      </c>
      <c r="C420" t="str">
        <f>TEXT(Table1[[#This Row],[Order_Date]],"mmm")</f>
        <v>May</v>
      </c>
      <c r="D420">
        <f>YEAR(Table1[[#This Row],[Order_Date]])</f>
        <v>2025</v>
      </c>
      <c r="E420" t="s">
        <v>111</v>
      </c>
      <c r="F420" t="s">
        <v>169</v>
      </c>
      <c r="G420" t="s">
        <v>48</v>
      </c>
      <c r="H420" t="s">
        <v>1155</v>
      </c>
      <c r="I420" t="s">
        <v>87</v>
      </c>
      <c r="J420" t="s">
        <v>88</v>
      </c>
      <c r="K420">
        <v>18</v>
      </c>
      <c r="L420">
        <v>23735</v>
      </c>
      <c r="M420">
        <v>19440</v>
      </c>
      <c r="N420">
        <v>4295</v>
      </c>
      <c r="O420" s="6">
        <f>Table1[[#This Row],[Profit]]/Table1[[#This Row],[Sales_Amount]]</f>
        <v>0.1809563935116916</v>
      </c>
      <c r="P420" t="s">
        <v>60</v>
      </c>
    </row>
    <row r="421" spans="1:16" x14ac:dyDescent="0.35">
      <c r="A421" t="s">
        <v>1156</v>
      </c>
      <c r="B421" t="s">
        <v>542</v>
      </c>
      <c r="C421" t="str">
        <f>TEXT(Table1[[#This Row],[Order_Date]],"mmm")</f>
        <v>Jul</v>
      </c>
      <c r="D421">
        <f>YEAR(Table1[[#This Row],[Order_Date]])</f>
        <v>2025</v>
      </c>
      <c r="E421" t="s">
        <v>63</v>
      </c>
      <c r="F421" t="s">
        <v>104</v>
      </c>
      <c r="G421" t="s">
        <v>57</v>
      </c>
      <c r="H421" t="s">
        <v>1157</v>
      </c>
      <c r="I421" t="s">
        <v>125</v>
      </c>
      <c r="J421" t="s">
        <v>83</v>
      </c>
      <c r="K421">
        <v>11</v>
      </c>
      <c r="L421">
        <v>53769</v>
      </c>
      <c r="M421">
        <v>28688</v>
      </c>
      <c r="N421">
        <v>25081</v>
      </c>
      <c r="O421" s="6">
        <f>Table1[[#This Row],[Profit]]/Table1[[#This Row],[Sales_Amount]]</f>
        <v>0.46645836820472764</v>
      </c>
      <c r="P421" t="s">
        <v>60</v>
      </c>
    </row>
    <row r="422" spans="1:16" x14ac:dyDescent="0.35">
      <c r="A422" t="s">
        <v>1158</v>
      </c>
      <c r="B422" t="s">
        <v>1159</v>
      </c>
      <c r="C422" t="str">
        <f>TEXT(Table1[[#This Row],[Order_Date]],"mmm")</f>
        <v>Jul</v>
      </c>
      <c r="D422">
        <f>YEAR(Table1[[#This Row],[Order_Date]])</f>
        <v>2025</v>
      </c>
      <c r="E422" t="s">
        <v>46</v>
      </c>
      <c r="F422" t="s">
        <v>74</v>
      </c>
      <c r="G422" t="s">
        <v>65</v>
      </c>
      <c r="H422" t="s">
        <v>1160</v>
      </c>
      <c r="I422" t="s">
        <v>67</v>
      </c>
      <c r="J422" t="s">
        <v>51</v>
      </c>
      <c r="K422">
        <v>16</v>
      </c>
      <c r="L422">
        <v>77967</v>
      </c>
      <c r="M422">
        <v>46687</v>
      </c>
      <c r="N422">
        <v>31280</v>
      </c>
      <c r="O422" s="6">
        <f>Table1[[#This Row],[Profit]]/Table1[[#This Row],[Sales_Amount]]</f>
        <v>0.40119537753151974</v>
      </c>
      <c r="P422" t="s">
        <v>98</v>
      </c>
    </row>
    <row r="423" spans="1:16" x14ac:dyDescent="0.35">
      <c r="A423" t="s">
        <v>1161</v>
      </c>
      <c r="B423" t="s">
        <v>722</v>
      </c>
      <c r="C423" t="str">
        <f>TEXT(Table1[[#This Row],[Order_Date]],"mmm")</f>
        <v>Jun</v>
      </c>
      <c r="D423">
        <f>YEAR(Table1[[#This Row],[Order_Date]])</f>
        <v>2025</v>
      </c>
      <c r="E423" t="s">
        <v>46</v>
      </c>
      <c r="F423" t="s">
        <v>47</v>
      </c>
      <c r="G423" t="s">
        <v>128</v>
      </c>
      <c r="H423" t="s">
        <v>1162</v>
      </c>
      <c r="I423" t="s">
        <v>67</v>
      </c>
      <c r="J423" t="s">
        <v>51</v>
      </c>
      <c r="K423">
        <v>21</v>
      </c>
      <c r="L423">
        <v>25425</v>
      </c>
      <c r="M423">
        <v>12087</v>
      </c>
      <c r="N423">
        <v>13338</v>
      </c>
      <c r="O423" s="6">
        <f>Table1[[#This Row],[Profit]]/Table1[[#This Row],[Sales_Amount]]</f>
        <v>0.52460176991150442</v>
      </c>
      <c r="P423" t="s">
        <v>60</v>
      </c>
    </row>
    <row r="424" spans="1:16" x14ac:dyDescent="0.35">
      <c r="A424" t="s">
        <v>1163</v>
      </c>
      <c r="B424" t="s">
        <v>1164</v>
      </c>
      <c r="C424" t="str">
        <f>TEXT(Table1[[#This Row],[Order_Date]],"mmm")</f>
        <v>Jun</v>
      </c>
      <c r="D424">
        <f>YEAR(Table1[[#This Row],[Order_Date]])</f>
        <v>2025</v>
      </c>
      <c r="E424" t="s">
        <v>111</v>
      </c>
      <c r="F424" t="s">
        <v>112</v>
      </c>
      <c r="G424" t="s">
        <v>65</v>
      </c>
      <c r="H424" t="s">
        <v>1165</v>
      </c>
      <c r="I424" t="s">
        <v>82</v>
      </c>
      <c r="J424" t="s">
        <v>83</v>
      </c>
      <c r="K424">
        <v>21</v>
      </c>
      <c r="L424">
        <v>104761</v>
      </c>
      <c r="M424">
        <v>57772</v>
      </c>
      <c r="N424">
        <v>46989</v>
      </c>
      <c r="O424" s="6">
        <f>Table1[[#This Row],[Profit]]/Table1[[#This Row],[Sales_Amount]]</f>
        <v>0.44853523734977713</v>
      </c>
      <c r="P424" t="s">
        <v>98</v>
      </c>
    </row>
    <row r="425" spans="1:16" x14ac:dyDescent="0.35">
      <c r="A425" t="s">
        <v>1166</v>
      </c>
      <c r="B425" t="s">
        <v>256</v>
      </c>
      <c r="C425" t="str">
        <f>TEXT(Table1[[#This Row],[Order_Date]],"mmm")</f>
        <v>Jun</v>
      </c>
      <c r="D425">
        <f>YEAR(Table1[[#This Row],[Order_Date]])</f>
        <v>2025</v>
      </c>
      <c r="E425" t="s">
        <v>55</v>
      </c>
      <c r="F425" t="s">
        <v>188</v>
      </c>
      <c r="G425" t="s">
        <v>80</v>
      </c>
      <c r="H425" t="s">
        <v>1167</v>
      </c>
      <c r="I425" t="s">
        <v>125</v>
      </c>
      <c r="J425" t="s">
        <v>83</v>
      </c>
      <c r="K425">
        <v>10</v>
      </c>
      <c r="L425">
        <v>92844</v>
      </c>
      <c r="M425">
        <v>59989</v>
      </c>
      <c r="N425">
        <v>32855</v>
      </c>
      <c r="O425" s="6">
        <f>Table1[[#This Row],[Profit]]/Table1[[#This Row],[Sales_Amount]]</f>
        <v>0.35387316358623067</v>
      </c>
      <c r="P425" t="s">
        <v>121</v>
      </c>
    </row>
    <row r="426" spans="1:16" x14ac:dyDescent="0.35">
      <c r="A426" t="s">
        <v>1168</v>
      </c>
      <c r="B426" t="s">
        <v>917</v>
      </c>
      <c r="C426" t="str">
        <f>TEXT(Table1[[#This Row],[Order_Date]],"mmm")</f>
        <v>Jul</v>
      </c>
      <c r="D426">
        <f>YEAR(Table1[[#This Row],[Order_Date]])</f>
        <v>2025</v>
      </c>
      <c r="E426" t="s">
        <v>55</v>
      </c>
      <c r="F426" t="s">
        <v>56</v>
      </c>
      <c r="G426" t="s">
        <v>48</v>
      </c>
      <c r="H426" t="s">
        <v>1169</v>
      </c>
      <c r="I426" t="s">
        <v>156</v>
      </c>
      <c r="J426" t="s">
        <v>157</v>
      </c>
      <c r="K426">
        <v>12</v>
      </c>
      <c r="L426">
        <v>76267</v>
      </c>
      <c r="M426">
        <v>56627</v>
      </c>
      <c r="N426">
        <v>19640</v>
      </c>
      <c r="O426" s="6">
        <f>Table1[[#This Row],[Profit]]/Table1[[#This Row],[Sales_Amount]]</f>
        <v>0.25751635700892916</v>
      </c>
      <c r="P426" t="s">
        <v>52</v>
      </c>
    </row>
    <row r="427" spans="1:16" x14ac:dyDescent="0.35">
      <c r="A427" t="s">
        <v>1170</v>
      </c>
      <c r="B427" t="s">
        <v>1171</v>
      </c>
      <c r="C427" t="str">
        <f>TEXT(Table1[[#This Row],[Order_Date]],"mmm")</f>
        <v>Dec</v>
      </c>
      <c r="D427">
        <f>YEAR(Table1[[#This Row],[Order_Date]])</f>
        <v>2025</v>
      </c>
      <c r="E427" t="s">
        <v>111</v>
      </c>
      <c r="F427" t="s">
        <v>112</v>
      </c>
      <c r="G427" t="s">
        <v>128</v>
      </c>
      <c r="H427" t="s">
        <v>1172</v>
      </c>
      <c r="I427" t="s">
        <v>156</v>
      </c>
      <c r="J427" t="s">
        <v>157</v>
      </c>
      <c r="K427">
        <v>24</v>
      </c>
      <c r="L427">
        <v>85804</v>
      </c>
      <c r="M427">
        <v>56740</v>
      </c>
      <c r="N427">
        <v>29064</v>
      </c>
      <c r="O427" s="6">
        <f>Table1[[#This Row],[Profit]]/Table1[[#This Row],[Sales_Amount]]</f>
        <v>0.33872546734417974</v>
      </c>
      <c r="P427" t="s">
        <v>60</v>
      </c>
    </row>
    <row r="428" spans="1:16" x14ac:dyDescent="0.35">
      <c r="A428" t="s">
        <v>1173</v>
      </c>
      <c r="B428" t="s">
        <v>396</v>
      </c>
      <c r="C428" t="str">
        <f>TEXT(Table1[[#This Row],[Order_Date]],"mmm")</f>
        <v>Feb</v>
      </c>
      <c r="D428">
        <f>YEAR(Table1[[#This Row],[Order_Date]])</f>
        <v>2025</v>
      </c>
      <c r="E428" t="s">
        <v>111</v>
      </c>
      <c r="F428" t="s">
        <v>169</v>
      </c>
      <c r="G428" t="s">
        <v>116</v>
      </c>
      <c r="H428" t="s">
        <v>1174</v>
      </c>
      <c r="I428" t="s">
        <v>125</v>
      </c>
      <c r="J428" t="s">
        <v>83</v>
      </c>
      <c r="K428">
        <v>1</v>
      </c>
      <c r="L428">
        <v>67529</v>
      </c>
      <c r="M428">
        <v>37838</v>
      </c>
      <c r="N428">
        <v>29691</v>
      </c>
      <c r="O428" s="6">
        <f>Table1[[#This Row],[Profit]]/Table1[[#This Row],[Sales_Amount]]</f>
        <v>0.43967776807001435</v>
      </c>
      <c r="P428" t="s">
        <v>98</v>
      </c>
    </row>
    <row r="429" spans="1:16" x14ac:dyDescent="0.35">
      <c r="A429" t="s">
        <v>1175</v>
      </c>
      <c r="B429" t="s">
        <v>1122</v>
      </c>
      <c r="C429" t="str">
        <f>TEXT(Table1[[#This Row],[Order_Date]],"mmm")</f>
        <v>Jun</v>
      </c>
      <c r="D429">
        <f>YEAR(Table1[[#This Row],[Order_Date]])</f>
        <v>2025</v>
      </c>
      <c r="E429" t="s">
        <v>46</v>
      </c>
      <c r="F429" t="s">
        <v>47</v>
      </c>
      <c r="G429" t="s">
        <v>57</v>
      </c>
      <c r="H429" t="s">
        <v>1176</v>
      </c>
      <c r="I429" t="s">
        <v>125</v>
      </c>
      <c r="J429" t="s">
        <v>83</v>
      </c>
      <c r="K429">
        <v>4</v>
      </c>
      <c r="L429">
        <v>61947</v>
      </c>
      <c r="M429">
        <v>51651</v>
      </c>
      <c r="N429">
        <v>10296</v>
      </c>
      <c r="O429" s="6">
        <f>Table1[[#This Row],[Profit]]/Table1[[#This Row],[Sales_Amount]]</f>
        <v>0.16620659596106349</v>
      </c>
      <c r="P429" t="s">
        <v>121</v>
      </c>
    </row>
    <row r="430" spans="1:16" x14ac:dyDescent="0.35">
      <c r="A430" t="s">
        <v>1177</v>
      </c>
      <c r="B430" t="s">
        <v>1178</v>
      </c>
      <c r="C430" t="str">
        <f>TEXT(Table1[[#This Row],[Order_Date]],"mmm")</f>
        <v>Dec</v>
      </c>
      <c r="D430">
        <f>YEAR(Table1[[#This Row],[Order_Date]])</f>
        <v>2025</v>
      </c>
      <c r="E430" t="s">
        <v>46</v>
      </c>
      <c r="F430" t="s">
        <v>74</v>
      </c>
      <c r="G430" t="s">
        <v>57</v>
      </c>
      <c r="H430" t="s">
        <v>1179</v>
      </c>
      <c r="I430" t="s">
        <v>156</v>
      </c>
      <c r="J430" t="s">
        <v>157</v>
      </c>
      <c r="K430">
        <v>24</v>
      </c>
      <c r="L430">
        <v>47637</v>
      </c>
      <c r="M430">
        <v>25614</v>
      </c>
      <c r="N430">
        <v>22023</v>
      </c>
      <c r="O430" s="6">
        <f>Table1[[#This Row],[Profit]]/Table1[[#This Row],[Sales_Amount]]</f>
        <v>0.46230870961647458</v>
      </c>
      <c r="P430" t="s">
        <v>52</v>
      </c>
    </row>
    <row r="431" spans="1:16" x14ac:dyDescent="0.35">
      <c r="A431" t="s">
        <v>1180</v>
      </c>
      <c r="B431" t="s">
        <v>1181</v>
      </c>
      <c r="C431" t="str">
        <f>TEXT(Table1[[#This Row],[Order_Date]],"mmm")</f>
        <v>Mar</v>
      </c>
      <c r="D431">
        <f>YEAR(Table1[[#This Row],[Order_Date]])</f>
        <v>2025</v>
      </c>
      <c r="E431" t="s">
        <v>55</v>
      </c>
      <c r="F431" t="s">
        <v>188</v>
      </c>
      <c r="G431" t="s">
        <v>80</v>
      </c>
      <c r="H431" t="s">
        <v>1182</v>
      </c>
      <c r="I431" t="s">
        <v>76</v>
      </c>
      <c r="J431" t="s">
        <v>77</v>
      </c>
      <c r="K431">
        <v>4</v>
      </c>
      <c r="L431">
        <v>65857</v>
      </c>
      <c r="M431">
        <v>29787</v>
      </c>
      <c r="N431">
        <v>36070</v>
      </c>
      <c r="O431" s="6">
        <f>Table1[[#This Row],[Profit]]/Table1[[#This Row],[Sales_Amount]]</f>
        <v>0.54770183883262225</v>
      </c>
      <c r="P431" t="s">
        <v>98</v>
      </c>
    </row>
    <row r="432" spans="1:16" x14ac:dyDescent="0.35">
      <c r="A432" t="s">
        <v>1183</v>
      </c>
      <c r="B432" t="s">
        <v>1159</v>
      </c>
      <c r="C432" t="str">
        <f>TEXT(Table1[[#This Row],[Order_Date]],"mmm")</f>
        <v>Jul</v>
      </c>
      <c r="D432">
        <f>YEAR(Table1[[#This Row],[Order_Date]])</f>
        <v>2025</v>
      </c>
      <c r="E432" t="s">
        <v>46</v>
      </c>
      <c r="F432" t="s">
        <v>47</v>
      </c>
      <c r="G432" t="s">
        <v>80</v>
      </c>
      <c r="H432" t="s">
        <v>1184</v>
      </c>
      <c r="I432" t="s">
        <v>156</v>
      </c>
      <c r="J432" t="s">
        <v>157</v>
      </c>
      <c r="K432">
        <v>25</v>
      </c>
      <c r="L432">
        <v>44516</v>
      </c>
      <c r="M432">
        <v>27931</v>
      </c>
      <c r="N432">
        <v>16585</v>
      </c>
      <c r="O432" s="6">
        <f>Table1[[#This Row],[Profit]]/Table1[[#This Row],[Sales_Amount]]</f>
        <v>0.3725626740947075</v>
      </c>
      <c r="P432" t="s">
        <v>52</v>
      </c>
    </row>
    <row r="433" spans="1:16" x14ac:dyDescent="0.35">
      <c r="A433" t="s">
        <v>1185</v>
      </c>
      <c r="B433" t="s">
        <v>107</v>
      </c>
      <c r="C433" t="str">
        <f>TEXT(Table1[[#This Row],[Order_Date]],"mmm")</f>
        <v>Sep</v>
      </c>
      <c r="D433">
        <f>YEAR(Table1[[#This Row],[Order_Date]])</f>
        <v>2025</v>
      </c>
      <c r="E433" t="s">
        <v>46</v>
      </c>
      <c r="F433" t="s">
        <v>74</v>
      </c>
      <c r="G433" t="s">
        <v>116</v>
      </c>
      <c r="H433" t="s">
        <v>1186</v>
      </c>
      <c r="I433" t="s">
        <v>87</v>
      </c>
      <c r="J433" t="s">
        <v>88</v>
      </c>
      <c r="K433">
        <v>24</v>
      </c>
      <c r="L433">
        <v>37622</v>
      </c>
      <c r="M433">
        <v>22760</v>
      </c>
      <c r="N433">
        <v>14862</v>
      </c>
      <c r="O433" s="6">
        <f>Table1[[#This Row],[Profit]]/Table1[[#This Row],[Sales_Amount]]</f>
        <v>0.39503482005209717</v>
      </c>
      <c r="P433" t="s">
        <v>52</v>
      </c>
    </row>
    <row r="434" spans="1:16" x14ac:dyDescent="0.35">
      <c r="A434" t="s">
        <v>1187</v>
      </c>
      <c r="B434" t="s">
        <v>223</v>
      </c>
      <c r="C434" t="str">
        <f>TEXT(Table1[[#This Row],[Order_Date]],"mmm")</f>
        <v>Aug</v>
      </c>
      <c r="D434">
        <f>YEAR(Table1[[#This Row],[Order_Date]])</f>
        <v>2025</v>
      </c>
      <c r="E434" t="s">
        <v>63</v>
      </c>
      <c r="F434" t="s">
        <v>64</v>
      </c>
      <c r="G434" t="s">
        <v>65</v>
      </c>
      <c r="H434" t="s">
        <v>1188</v>
      </c>
      <c r="I434" t="s">
        <v>59</v>
      </c>
      <c r="J434" t="s">
        <v>51</v>
      </c>
      <c r="K434">
        <v>14</v>
      </c>
      <c r="L434">
        <v>54458</v>
      </c>
      <c r="M434">
        <v>34958</v>
      </c>
      <c r="N434">
        <v>19500</v>
      </c>
      <c r="O434" s="6">
        <f>Table1[[#This Row],[Profit]]/Table1[[#This Row],[Sales_Amount]]</f>
        <v>0.35807411215982959</v>
      </c>
      <c r="P434" t="s">
        <v>60</v>
      </c>
    </row>
    <row r="435" spans="1:16" x14ac:dyDescent="0.35">
      <c r="A435" t="s">
        <v>1189</v>
      </c>
      <c r="B435" t="s">
        <v>923</v>
      </c>
      <c r="C435" t="str">
        <f>TEXT(Table1[[#This Row],[Order_Date]],"mmm")</f>
        <v>Feb</v>
      </c>
      <c r="D435">
        <f>YEAR(Table1[[#This Row],[Order_Date]])</f>
        <v>2025</v>
      </c>
      <c r="E435" t="s">
        <v>46</v>
      </c>
      <c r="F435" t="s">
        <v>74</v>
      </c>
      <c r="G435" t="s">
        <v>138</v>
      </c>
      <c r="H435" t="s">
        <v>1190</v>
      </c>
      <c r="I435" t="s">
        <v>143</v>
      </c>
      <c r="J435" t="s">
        <v>51</v>
      </c>
      <c r="K435">
        <v>3</v>
      </c>
      <c r="L435">
        <v>9753</v>
      </c>
      <c r="M435">
        <v>8074</v>
      </c>
      <c r="N435">
        <v>1679</v>
      </c>
      <c r="O435" s="6">
        <f>Table1[[#This Row],[Profit]]/Table1[[#This Row],[Sales_Amount]]</f>
        <v>0.17215215831026351</v>
      </c>
      <c r="P435" t="s">
        <v>98</v>
      </c>
    </row>
    <row r="436" spans="1:16" x14ac:dyDescent="0.35">
      <c r="A436" t="s">
        <v>1191</v>
      </c>
      <c r="B436" t="s">
        <v>1192</v>
      </c>
      <c r="C436" t="str">
        <f>TEXT(Table1[[#This Row],[Order_Date]],"mmm")</f>
        <v>Feb</v>
      </c>
      <c r="D436">
        <f>YEAR(Table1[[#This Row],[Order_Date]])</f>
        <v>2025</v>
      </c>
      <c r="E436" t="s">
        <v>55</v>
      </c>
      <c r="F436" t="s">
        <v>56</v>
      </c>
      <c r="G436" t="s">
        <v>48</v>
      </c>
      <c r="H436" t="s">
        <v>1193</v>
      </c>
      <c r="I436" t="s">
        <v>125</v>
      </c>
      <c r="J436" t="s">
        <v>83</v>
      </c>
      <c r="K436">
        <v>3</v>
      </c>
      <c r="L436">
        <v>56093</v>
      </c>
      <c r="M436">
        <v>26188</v>
      </c>
      <c r="N436">
        <v>29905</v>
      </c>
      <c r="O436" s="6">
        <f>Table1[[#This Row],[Profit]]/Table1[[#This Row],[Sales_Amount]]</f>
        <v>0.53313247642308315</v>
      </c>
      <c r="P436" t="s">
        <v>52</v>
      </c>
    </row>
    <row r="437" spans="1:16" x14ac:dyDescent="0.35">
      <c r="A437" t="s">
        <v>1194</v>
      </c>
      <c r="B437" t="s">
        <v>917</v>
      </c>
      <c r="C437" t="str">
        <f>TEXT(Table1[[#This Row],[Order_Date]],"mmm")</f>
        <v>Jul</v>
      </c>
      <c r="D437">
        <f>YEAR(Table1[[#This Row],[Order_Date]])</f>
        <v>2025</v>
      </c>
      <c r="E437" t="s">
        <v>55</v>
      </c>
      <c r="F437" t="s">
        <v>56</v>
      </c>
      <c r="G437" t="s">
        <v>57</v>
      </c>
      <c r="H437" t="s">
        <v>1195</v>
      </c>
      <c r="I437" t="s">
        <v>76</v>
      </c>
      <c r="J437" t="s">
        <v>77</v>
      </c>
      <c r="K437">
        <v>14</v>
      </c>
      <c r="L437">
        <v>32361</v>
      </c>
      <c r="M437">
        <v>19008</v>
      </c>
      <c r="N437">
        <v>13353</v>
      </c>
      <c r="O437" s="6">
        <f>Table1[[#This Row],[Profit]]/Table1[[#This Row],[Sales_Amount]]</f>
        <v>0.41262630944655604</v>
      </c>
      <c r="P437" t="s">
        <v>52</v>
      </c>
    </row>
    <row r="438" spans="1:16" x14ac:dyDescent="0.35">
      <c r="A438" t="s">
        <v>1196</v>
      </c>
      <c r="B438" t="s">
        <v>731</v>
      </c>
      <c r="C438" t="str">
        <f>TEXT(Table1[[#This Row],[Order_Date]],"mmm")</f>
        <v>Aug</v>
      </c>
      <c r="D438">
        <f>YEAR(Table1[[#This Row],[Order_Date]])</f>
        <v>2025</v>
      </c>
      <c r="E438" t="s">
        <v>55</v>
      </c>
      <c r="F438" t="s">
        <v>56</v>
      </c>
      <c r="G438" t="s">
        <v>80</v>
      </c>
      <c r="H438" t="s">
        <v>1197</v>
      </c>
      <c r="I438" t="s">
        <v>50</v>
      </c>
      <c r="J438" t="s">
        <v>51</v>
      </c>
      <c r="K438">
        <v>7</v>
      </c>
      <c r="L438">
        <v>102146</v>
      </c>
      <c r="M438">
        <v>69214</v>
      </c>
      <c r="N438">
        <v>32932</v>
      </c>
      <c r="O438" s="6">
        <f>Table1[[#This Row],[Profit]]/Table1[[#This Row],[Sales_Amount]]</f>
        <v>0.32240126877214964</v>
      </c>
      <c r="P438" t="s">
        <v>121</v>
      </c>
    </row>
    <row r="439" spans="1:16" x14ac:dyDescent="0.35">
      <c r="A439" t="s">
        <v>1198</v>
      </c>
      <c r="B439" t="s">
        <v>119</v>
      </c>
      <c r="C439" t="str">
        <f>TEXT(Table1[[#This Row],[Order_Date]],"mmm")</f>
        <v>Mar</v>
      </c>
      <c r="D439">
        <f>YEAR(Table1[[#This Row],[Order_Date]])</f>
        <v>2025</v>
      </c>
      <c r="E439" t="s">
        <v>111</v>
      </c>
      <c r="F439" t="s">
        <v>169</v>
      </c>
      <c r="G439" t="s">
        <v>57</v>
      </c>
      <c r="H439" t="s">
        <v>1199</v>
      </c>
      <c r="I439" t="s">
        <v>67</v>
      </c>
      <c r="J439" t="s">
        <v>51</v>
      </c>
      <c r="K439">
        <v>23</v>
      </c>
      <c r="L439">
        <v>68760</v>
      </c>
      <c r="M439">
        <v>46696</v>
      </c>
      <c r="N439">
        <v>22064</v>
      </c>
      <c r="O439" s="6">
        <f>Table1[[#This Row],[Profit]]/Table1[[#This Row],[Sales_Amount]]</f>
        <v>0.32088423502036068</v>
      </c>
      <c r="P439" t="s">
        <v>98</v>
      </c>
    </row>
    <row r="440" spans="1:16" x14ac:dyDescent="0.35">
      <c r="A440" t="s">
        <v>1200</v>
      </c>
      <c r="B440" t="s">
        <v>580</v>
      </c>
      <c r="C440" t="str">
        <f>TEXT(Table1[[#This Row],[Order_Date]],"mmm")</f>
        <v>Mar</v>
      </c>
      <c r="D440">
        <f>YEAR(Table1[[#This Row],[Order_Date]])</f>
        <v>2025</v>
      </c>
      <c r="E440" t="s">
        <v>55</v>
      </c>
      <c r="F440" t="s">
        <v>56</v>
      </c>
      <c r="G440" t="s">
        <v>70</v>
      </c>
      <c r="H440" t="s">
        <v>1201</v>
      </c>
      <c r="I440" t="s">
        <v>82</v>
      </c>
      <c r="J440" t="s">
        <v>83</v>
      </c>
      <c r="K440">
        <v>14</v>
      </c>
      <c r="L440">
        <v>61275</v>
      </c>
      <c r="M440">
        <v>35121</v>
      </c>
      <c r="N440">
        <v>26154</v>
      </c>
      <c r="O440" s="6">
        <f>Table1[[#This Row],[Profit]]/Table1[[#This Row],[Sales_Amount]]</f>
        <v>0.42682986536107709</v>
      </c>
      <c r="P440" t="s">
        <v>121</v>
      </c>
    </row>
    <row r="441" spans="1:16" x14ac:dyDescent="0.35">
      <c r="A441" t="s">
        <v>1202</v>
      </c>
      <c r="B441" t="s">
        <v>625</v>
      </c>
      <c r="C441" t="str">
        <f>TEXT(Table1[[#This Row],[Order_Date]],"mmm")</f>
        <v>May</v>
      </c>
      <c r="D441">
        <f>YEAR(Table1[[#This Row],[Order_Date]])</f>
        <v>2025</v>
      </c>
      <c r="E441" t="s">
        <v>111</v>
      </c>
      <c r="F441" t="s">
        <v>112</v>
      </c>
      <c r="G441" t="s">
        <v>48</v>
      </c>
      <c r="H441" t="s">
        <v>1203</v>
      </c>
      <c r="I441" t="s">
        <v>67</v>
      </c>
      <c r="J441" t="s">
        <v>51</v>
      </c>
      <c r="K441">
        <v>24</v>
      </c>
      <c r="L441">
        <v>14479</v>
      </c>
      <c r="M441">
        <v>10293</v>
      </c>
      <c r="N441">
        <v>4186</v>
      </c>
      <c r="O441" s="6">
        <f>Table1[[#This Row],[Profit]]/Table1[[#This Row],[Sales_Amount]]</f>
        <v>0.28910836383728156</v>
      </c>
      <c r="P441" t="s">
        <v>98</v>
      </c>
    </row>
    <row r="442" spans="1:16" x14ac:dyDescent="0.35">
      <c r="A442" t="s">
        <v>1204</v>
      </c>
      <c r="B442" t="s">
        <v>790</v>
      </c>
      <c r="C442" t="str">
        <f>TEXT(Table1[[#This Row],[Order_Date]],"mmm")</f>
        <v>Mar</v>
      </c>
      <c r="D442">
        <f>YEAR(Table1[[#This Row],[Order_Date]])</f>
        <v>2025</v>
      </c>
      <c r="E442" t="s">
        <v>55</v>
      </c>
      <c r="F442" t="s">
        <v>188</v>
      </c>
      <c r="G442" t="s">
        <v>48</v>
      </c>
      <c r="H442" t="s">
        <v>1205</v>
      </c>
      <c r="I442" t="s">
        <v>82</v>
      </c>
      <c r="J442" t="s">
        <v>83</v>
      </c>
      <c r="K442">
        <v>18</v>
      </c>
      <c r="L442">
        <v>98975</v>
      </c>
      <c r="M442">
        <v>59567</v>
      </c>
      <c r="N442">
        <v>39408</v>
      </c>
      <c r="O442" s="6">
        <f>Table1[[#This Row],[Profit]]/Table1[[#This Row],[Sales_Amount]]</f>
        <v>0.39816115180601164</v>
      </c>
      <c r="P442" t="s">
        <v>52</v>
      </c>
    </row>
    <row r="443" spans="1:16" x14ac:dyDescent="0.35">
      <c r="A443" t="s">
        <v>1206</v>
      </c>
      <c r="B443" t="s">
        <v>793</v>
      </c>
      <c r="C443" t="str">
        <f>TEXT(Table1[[#This Row],[Order_Date]],"mmm")</f>
        <v>Feb</v>
      </c>
      <c r="D443">
        <f>YEAR(Table1[[#This Row],[Order_Date]])</f>
        <v>2025</v>
      </c>
      <c r="E443" t="s">
        <v>55</v>
      </c>
      <c r="F443" t="s">
        <v>56</v>
      </c>
      <c r="G443" t="s">
        <v>57</v>
      </c>
      <c r="H443" t="s">
        <v>1207</v>
      </c>
      <c r="I443" t="s">
        <v>82</v>
      </c>
      <c r="J443" t="s">
        <v>83</v>
      </c>
      <c r="K443">
        <v>7</v>
      </c>
      <c r="L443">
        <v>10100</v>
      </c>
      <c r="M443">
        <v>5776</v>
      </c>
      <c r="N443">
        <v>4324</v>
      </c>
      <c r="O443" s="6">
        <f>Table1[[#This Row],[Profit]]/Table1[[#This Row],[Sales_Amount]]</f>
        <v>0.42811881188118811</v>
      </c>
      <c r="P443" t="s">
        <v>52</v>
      </c>
    </row>
    <row r="444" spans="1:16" x14ac:dyDescent="0.35">
      <c r="A444" t="s">
        <v>1208</v>
      </c>
      <c r="B444" t="s">
        <v>1209</v>
      </c>
      <c r="C444" t="str">
        <f>TEXT(Table1[[#This Row],[Order_Date]],"mmm")</f>
        <v>Jul</v>
      </c>
      <c r="D444">
        <f>YEAR(Table1[[#This Row],[Order_Date]])</f>
        <v>2025</v>
      </c>
      <c r="E444" t="s">
        <v>111</v>
      </c>
      <c r="F444" t="s">
        <v>169</v>
      </c>
      <c r="G444" t="s">
        <v>65</v>
      </c>
      <c r="H444" t="s">
        <v>1210</v>
      </c>
      <c r="I444" t="s">
        <v>143</v>
      </c>
      <c r="J444" t="s">
        <v>51</v>
      </c>
      <c r="K444">
        <v>1</v>
      </c>
      <c r="L444">
        <v>36954</v>
      </c>
      <c r="M444">
        <v>23523</v>
      </c>
      <c r="N444">
        <v>13431</v>
      </c>
      <c r="O444" s="6">
        <f>Table1[[#This Row],[Profit]]/Table1[[#This Row],[Sales_Amount]]</f>
        <v>0.36345185906803051</v>
      </c>
      <c r="P444" t="s">
        <v>52</v>
      </c>
    </row>
    <row r="445" spans="1:16" x14ac:dyDescent="0.35">
      <c r="A445" t="s">
        <v>1211</v>
      </c>
      <c r="B445" t="s">
        <v>1212</v>
      </c>
      <c r="C445" t="str">
        <f>TEXT(Table1[[#This Row],[Order_Date]],"mmm")</f>
        <v>Apr</v>
      </c>
      <c r="D445">
        <f>YEAR(Table1[[#This Row],[Order_Date]])</f>
        <v>2025</v>
      </c>
      <c r="E445" t="s">
        <v>55</v>
      </c>
      <c r="F445" t="s">
        <v>56</v>
      </c>
      <c r="G445" t="s">
        <v>138</v>
      </c>
      <c r="H445" t="s">
        <v>1213</v>
      </c>
      <c r="I445" t="s">
        <v>59</v>
      </c>
      <c r="J445" t="s">
        <v>51</v>
      </c>
      <c r="K445">
        <v>2</v>
      </c>
      <c r="L445">
        <v>51620</v>
      </c>
      <c r="M445">
        <v>27682</v>
      </c>
      <c r="N445">
        <v>23938</v>
      </c>
      <c r="O445" s="6">
        <f>Table1[[#This Row],[Profit]]/Table1[[#This Row],[Sales_Amount]]</f>
        <v>0.46373498643936456</v>
      </c>
      <c r="P445" t="s">
        <v>52</v>
      </c>
    </row>
    <row r="446" spans="1:16" x14ac:dyDescent="0.35">
      <c r="A446" t="s">
        <v>1214</v>
      </c>
      <c r="B446" t="s">
        <v>1215</v>
      </c>
      <c r="C446" t="str">
        <f>TEXT(Table1[[#This Row],[Order_Date]],"mmm")</f>
        <v>Jan</v>
      </c>
      <c r="D446">
        <f>YEAR(Table1[[#This Row],[Order_Date]])</f>
        <v>2025</v>
      </c>
      <c r="E446" t="s">
        <v>111</v>
      </c>
      <c r="F446" t="s">
        <v>169</v>
      </c>
      <c r="G446" t="s">
        <v>57</v>
      </c>
      <c r="H446" t="s">
        <v>1216</v>
      </c>
      <c r="I446" t="s">
        <v>67</v>
      </c>
      <c r="J446" t="s">
        <v>51</v>
      </c>
      <c r="K446">
        <v>1</v>
      </c>
      <c r="L446">
        <v>16970</v>
      </c>
      <c r="M446">
        <v>13067</v>
      </c>
      <c r="N446">
        <v>3903</v>
      </c>
      <c r="O446" s="6">
        <f>Table1[[#This Row],[Profit]]/Table1[[#This Row],[Sales_Amount]]</f>
        <v>0.22999410724808486</v>
      </c>
      <c r="P446" t="s">
        <v>60</v>
      </c>
    </row>
    <row r="447" spans="1:16" x14ac:dyDescent="0.35">
      <c r="A447" t="s">
        <v>1217</v>
      </c>
      <c r="B447" t="s">
        <v>45</v>
      </c>
      <c r="C447" t="str">
        <f>TEXT(Table1[[#This Row],[Order_Date]],"mmm")</f>
        <v>Jul</v>
      </c>
      <c r="D447">
        <f>YEAR(Table1[[#This Row],[Order_Date]])</f>
        <v>2025</v>
      </c>
      <c r="E447" t="s">
        <v>55</v>
      </c>
      <c r="F447" t="s">
        <v>188</v>
      </c>
      <c r="G447" t="s">
        <v>70</v>
      </c>
      <c r="H447" t="s">
        <v>1218</v>
      </c>
      <c r="I447" t="s">
        <v>82</v>
      </c>
      <c r="J447" t="s">
        <v>83</v>
      </c>
      <c r="K447">
        <v>20</v>
      </c>
      <c r="L447">
        <v>107005</v>
      </c>
      <c r="M447">
        <v>63802</v>
      </c>
      <c r="N447">
        <v>43203</v>
      </c>
      <c r="O447" s="6">
        <f>Table1[[#This Row],[Profit]]/Table1[[#This Row],[Sales_Amount]]</f>
        <v>0.40374748843511987</v>
      </c>
      <c r="P447" t="s">
        <v>52</v>
      </c>
    </row>
    <row r="448" spans="1:16" x14ac:dyDescent="0.35">
      <c r="A448" t="s">
        <v>1219</v>
      </c>
      <c r="B448" t="s">
        <v>223</v>
      </c>
      <c r="C448" t="str">
        <f>TEXT(Table1[[#This Row],[Order_Date]],"mmm")</f>
        <v>Aug</v>
      </c>
      <c r="D448">
        <f>YEAR(Table1[[#This Row],[Order_Date]])</f>
        <v>2025</v>
      </c>
      <c r="E448" t="s">
        <v>55</v>
      </c>
      <c r="F448" t="s">
        <v>56</v>
      </c>
      <c r="G448" t="s">
        <v>65</v>
      </c>
      <c r="H448" t="s">
        <v>1220</v>
      </c>
      <c r="I448" t="s">
        <v>143</v>
      </c>
      <c r="J448" t="s">
        <v>51</v>
      </c>
      <c r="K448">
        <v>3</v>
      </c>
      <c r="L448">
        <v>108320</v>
      </c>
      <c r="M448">
        <v>82808</v>
      </c>
      <c r="N448">
        <v>25512</v>
      </c>
      <c r="O448" s="6">
        <f>Table1[[#This Row],[Profit]]/Table1[[#This Row],[Sales_Amount]]</f>
        <v>0.23552437223042835</v>
      </c>
      <c r="P448" t="s">
        <v>52</v>
      </c>
    </row>
    <row r="449" spans="1:16" x14ac:dyDescent="0.35">
      <c r="A449" t="s">
        <v>1221</v>
      </c>
      <c r="B449" t="s">
        <v>951</v>
      </c>
      <c r="C449" t="str">
        <f>TEXT(Table1[[#This Row],[Order_Date]],"mmm")</f>
        <v>Nov</v>
      </c>
      <c r="D449">
        <f>YEAR(Table1[[#This Row],[Order_Date]])</f>
        <v>2025</v>
      </c>
      <c r="E449" t="s">
        <v>63</v>
      </c>
      <c r="F449" t="s">
        <v>104</v>
      </c>
      <c r="G449" t="s">
        <v>80</v>
      </c>
      <c r="H449" t="s">
        <v>1222</v>
      </c>
      <c r="I449" t="s">
        <v>82</v>
      </c>
      <c r="J449" t="s">
        <v>83</v>
      </c>
      <c r="K449">
        <v>5</v>
      </c>
      <c r="L449">
        <v>117726</v>
      </c>
      <c r="M449">
        <v>63786</v>
      </c>
      <c r="N449">
        <v>53940</v>
      </c>
      <c r="O449" s="6">
        <f>Table1[[#This Row],[Profit]]/Table1[[#This Row],[Sales_Amount]]</f>
        <v>0.45818255950257375</v>
      </c>
      <c r="P449" t="s">
        <v>121</v>
      </c>
    </row>
    <row r="450" spans="1:16" x14ac:dyDescent="0.35">
      <c r="A450" t="s">
        <v>1224</v>
      </c>
      <c r="B450" t="s">
        <v>1225</v>
      </c>
      <c r="C450" t="str">
        <f>TEXT(Table1[[#This Row],[Order_Date]],"mmm")</f>
        <v>Aug</v>
      </c>
      <c r="D450">
        <f>YEAR(Table1[[#This Row],[Order_Date]])</f>
        <v>2025</v>
      </c>
      <c r="E450" t="s">
        <v>55</v>
      </c>
      <c r="F450" t="s">
        <v>56</v>
      </c>
      <c r="G450" t="s">
        <v>138</v>
      </c>
      <c r="H450" t="s">
        <v>1226</v>
      </c>
      <c r="I450" t="s">
        <v>76</v>
      </c>
      <c r="J450" t="s">
        <v>77</v>
      </c>
      <c r="K450">
        <v>19</v>
      </c>
      <c r="L450">
        <v>63129</v>
      </c>
      <c r="M450">
        <v>40878</v>
      </c>
      <c r="N450">
        <v>22251</v>
      </c>
      <c r="O450" s="6">
        <f>Table1[[#This Row],[Profit]]/Table1[[#This Row],[Sales_Amount]]</f>
        <v>0.35246875445516324</v>
      </c>
      <c r="P450" t="s">
        <v>98</v>
      </c>
    </row>
    <row r="451" spans="1:16" x14ac:dyDescent="0.35">
      <c r="A451" t="s">
        <v>1227</v>
      </c>
      <c r="B451" t="s">
        <v>1228</v>
      </c>
      <c r="C451" t="str">
        <f>TEXT(Table1[[#This Row],[Order_Date]],"mmm")</f>
        <v>Apr</v>
      </c>
      <c r="D451">
        <f>YEAR(Table1[[#This Row],[Order_Date]])</f>
        <v>2025</v>
      </c>
      <c r="E451" t="s">
        <v>55</v>
      </c>
      <c r="F451" t="s">
        <v>56</v>
      </c>
      <c r="G451" t="s">
        <v>80</v>
      </c>
      <c r="H451" t="s">
        <v>754</v>
      </c>
      <c r="I451" t="s">
        <v>67</v>
      </c>
      <c r="J451" t="s">
        <v>51</v>
      </c>
      <c r="K451">
        <v>5</v>
      </c>
      <c r="L451">
        <v>98339</v>
      </c>
      <c r="M451">
        <v>58200</v>
      </c>
      <c r="N451">
        <v>40139</v>
      </c>
      <c r="O451" s="6">
        <f>Table1[[#This Row],[Profit]]/Table1[[#This Row],[Sales_Amount]]</f>
        <v>0.40816969869532943</v>
      </c>
      <c r="P451" t="s">
        <v>52</v>
      </c>
    </row>
    <row r="452" spans="1:16" x14ac:dyDescent="0.35">
      <c r="A452" t="s">
        <v>1229</v>
      </c>
      <c r="B452" t="s">
        <v>277</v>
      </c>
      <c r="C452" t="str">
        <f>TEXT(Table1[[#This Row],[Order_Date]],"mmm")</f>
        <v>May</v>
      </c>
      <c r="D452">
        <f>YEAR(Table1[[#This Row],[Order_Date]])</f>
        <v>2025</v>
      </c>
      <c r="E452" t="s">
        <v>46</v>
      </c>
      <c r="F452" t="s">
        <v>47</v>
      </c>
      <c r="G452" t="s">
        <v>116</v>
      </c>
      <c r="H452" t="s">
        <v>1230</v>
      </c>
      <c r="I452" t="s">
        <v>50</v>
      </c>
      <c r="J452" t="s">
        <v>51</v>
      </c>
      <c r="K452">
        <v>18</v>
      </c>
      <c r="L452">
        <v>86510</v>
      </c>
      <c r="M452">
        <v>68335</v>
      </c>
      <c r="N452">
        <v>18175</v>
      </c>
      <c r="O452" s="6">
        <f>Table1[[#This Row],[Profit]]/Table1[[#This Row],[Sales_Amount]]</f>
        <v>0.21009131892266791</v>
      </c>
      <c r="P452" t="s">
        <v>98</v>
      </c>
    </row>
    <row r="453" spans="1:16" x14ac:dyDescent="0.35">
      <c r="A453" t="s">
        <v>1231</v>
      </c>
      <c r="B453" t="s">
        <v>657</v>
      </c>
      <c r="C453" t="str">
        <f>TEXT(Table1[[#This Row],[Order_Date]],"mmm")</f>
        <v>Jul</v>
      </c>
      <c r="D453">
        <f>YEAR(Table1[[#This Row],[Order_Date]])</f>
        <v>2025</v>
      </c>
      <c r="E453" t="s">
        <v>46</v>
      </c>
      <c r="F453" t="s">
        <v>74</v>
      </c>
      <c r="G453" t="s">
        <v>80</v>
      </c>
      <c r="H453" t="s">
        <v>1232</v>
      </c>
      <c r="I453" t="s">
        <v>125</v>
      </c>
      <c r="J453" t="s">
        <v>83</v>
      </c>
      <c r="K453">
        <v>13</v>
      </c>
      <c r="L453">
        <v>98489</v>
      </c>
      <c r="M453">
        <v>45281</v>
      </c>
      <c r="N453">
        <v>53208</v>
      </c>
      <c r="O453" s="6">
        <f>Table1[[#This Row],[Profit]]/Table1[[#This Row],[Sales_Amount]]</f>
        <v>0.54024307283046835</v>
      </c>
      <c r="P453" t="s">
        <v>98</v>
      </c>
    </row>
    <row r="454" spans="1:16" x14ac:dyDescent="0.35">
      <c r="A454" t="s">
        <v>1233</v>
      </c>
      <c r="B454" t="s">
        <v>657</v>
      </c>
      <c r="C454" t="str">
        <f>TEXT(Table1[[#This Row],[Order_Date]],"mmm")</f>
        <v>Jul</v>
      </c>
      <c r="D454">
        <f>YEAR(Table1[[#This Row],[Order_Date]])</f>
        <v>2025</v>
      </c>
      <c r="E454" t="s">
        <v>63</v>
      </c>
      <c r="F454" t="s">
        <v>64</v>
      </c>
      <c r="G454" t="s">
        <v>128</v>
      </c>
      <c r="H454" t="s">
        <v>1234</v>
      </c>
      <c r="I454" t="s">
        <v>156</v>
      </c>
      <c r="J454" t="s">
        <v>157</v>
      </c>
      <c r="K454">
        <v>10</v>
      </c>
      <c r="L454">
        <v>20101</v>
      </c>
      <c r="M454">
        <v>16734</v>
      </c>
      <c r="N454">
        <v>3367</v>
      </c>
      <c r="O454" s="6">
        <f>Table1[[#This Row],[Profit]]/Table1[[#This Row],[Sales_Amount]]</f>
        <v>0.16750410427341925</v>
      </c>
      <c r="P454" t="s">
        <v>121</v>
      </c>
    </row>
    <row r="455" spans="1:16" x14ac:dyDescent="0.35">
      <c r="A455" t="s">
        <v>1235</v>
      </c>
      <c r="B455" t="s">
        <v>177</v>
      </c>
      <c r="C455" t="str">
        <f>TEXT(Table1[[#This Row],[Order_Date]],"mmm")</f>
        <v>Nov</v>
      </c>
      <c r="D455">
        <f>YEAR(Table1[[#This Row],[Order_Date]])</f>
        <v>2025</v>
      </c>
      <c r="E455" t="s">
        <v>55</v>
      </c>
      <c r="F455" t="s">
        <v>188</v>
      </c>
      <c r="G455" t="s">
        <v>116</v>
      </c>
      <c r="H455" t="s">
        <v>1236</v>
      </c>
      <c r="I455" t="s">
        <v>82</v>
      </c>
      <c r="J455" t="s">
        <v>83</v>
      </c>
      <c r="K455">
        <v>5</v>
      </c>
      <c r="L455">
        <v>20160</v>
      </c>
      <c r="M455">
        <v>11909</v>
      </c>
      <c r="N455">
        <v>8251</v>
      </c>
      <c r="O455" s="6">
        <f>Table1[[#This Row],[Profit]]/Table1[[#This Row],[Sales_Amount]]</f>
        <v>0.40927579365079364</v>
      </c>
      <c r="P455" t="s">
        <v>121</v>
      </c>
    </row>
    <row r="456" spans="1:16" x14ac:dyDescent="0.35">
      <c r="A456" t="s">
        <v>1237</v>
      </c>
      <c r="B456" t="s">
        <v>1238</v>
      </c>
      <c r="C456" t="str">
        <f>TEXT(Table1[[#This Row],[Order_Date]],"mmm")</f>
        <v>Jan</v>
      </c>
      <c r="D456">
        <f>YEAR(Table1[[#This Row],[Order_Date]])</f>
        <v>2025</v>
      </c>
      <c r="E456" t="s">
        <v>55</v>
      </c>
      <c r="F456" t="s">
        <v>56</v>
      </c>
      <c r="G456" t="s">
        <v>65</v>
      </c>
      <c r="H456" t="s">
        <v>1239</v>
      </c>
      <c r="I456" t="s">
        <v>143</v>
      </c>
      <c r="J456" t="s">
        <v>51</v>
      </c>
      <c r="K456">
        <v>12</v>
      </c>
      <c r="L456">
        <v>7691</v>
      </c>
      <c r="M456">
        <v>5390</v>
      </c>
      <c r="N456">
        <v>2301</v>
      </c>
      <c r="O456" s="6">
        <f>Table1[[#This Row],[Profit]]/Table1[[#This Row],[Sales_Amount]]</f>
        <v>0.29918086074632688</v>
      </c>
      <c r="P456" t="s">
        <v>121</v>
      </c>
    </row>
    <row r="457" spans="1:16" x14ac:dyDescent="0.35">
      <c r="A457" t="s">
        <v>1240</v>
      </c>
      <c r="B457" t="s">
        <v>1223</v>
      </c>
      <c r="C457" t="str">
        <f>TEXT(Table1[[#This Row],[Order_Date]],"mmm")</f>
        <v>Feb</v>
      </c>
      <c r="D457">
        <f>YEAR(Table1[[#This Row],[Order_Date]])</f>
        <v>2025</v>
      </c>
      <c r="E457" t="s">
        <v>63</v>
      </c>
      <c r="F457" t="s">
        <v>64</v>
      </c>
      <c r="G457" t="s">
        <v>48</v>
      </c>
      <c r="H457" t="s">
        <v>1241</v>
      </c>
      <c r="I457" t="s">
        <v>125</v>
      </c>
      <c r="J457" t="s">
        <v>83</v>
      </c>
      <c r="K457">
        <v>20</v>
      </c>
      <c r="L457">
        <v>23608</v>
      </c>
      <c r="M457">
        <v>15498</v>
      </c>
      <c r="N457">
        <v>8110</v>
      </c>
      <c r="O457" s="6">
        <f>Table1[[#This Row],[Profit]]/Table1[[#This Row],[Sales_Amount]]</f>
        <v>0.34352761775669266</v>
      </c>
      <c r="P457" t="s">
        <v>60</v>
      </c>
    </row>
    <row r="458" spans="1:16" x14ac:dyDescent="0.35">
      <c r="A458" t="s">
        <v>1242</v>
      </c>
      <c r="B458" t="s">
        <v>681</v>
      </c>
      <c r="C458" t="str">
        <f>TEXT(Table1[[#This Row],[Order_Date]],"mmm")</f>
        <v>May</v>
      </c>
      <c r="D458">
        <f>YEAR(Table1[[#This Row],[Order_Date]])</f>
        <v>2025</v>
      </c>
      <c r="E458" t="s">
        <v>46</v>
      </c>
      <c r="F458" t="s">
        <v>74</v>
      </c>
      <c r="G458" t="s">
        <v>128</v>
      </c>
      <c r="H458" t="s">
        <v>1243</v>
      </c>
      <c r="I458" t="s">
        <v>143</v>
      </c>
      <c r="J458" t="s">
        <v>51</v>
      </c>
      <c r="K458">
        <v>24</v>
      </c>
      <c r="L458">
        <v>68697</v>
      </c>
      <c r="M458">
        <v>40286</v>
      </c>
      <c r="N458">
        <v>28411</v>
      </c>
      <c r="O458" s="6">
        <f>Table1[[#This Row],[Profit]]/Table1[[#This Row],[Sales_Amount]]</f>
        <v>0.41356973375838829</v>
      </c>
      <c r="P458" t="s">
        <v>98</v>
      </c>
    </row>
    <row r="459" spans="1:16" x14ac:dyDescent="0.35">
      <c r="A459" t="s">
        <v>1244</v>
      </c>
      <c r="B459" t="s">
        <v>1245</v>
      </c>
      <c r="C459" t="str">
        <f>TEXT(Table1[[#This Row],[Order_Date]],"mmm")</f>
        <v>Sep</v>
      </c>
      <c r="D459">
        <f>YEAR(Table1[[#This Row],[Order_Date]])</f>
        <v>2025</v>
      </c>
      <c r="E459" t="s">
        <v>63</v>
      </c>
      <c r="F459" t="s">
        <v>104</v>
      </c>
      <c r="G459" t="s">
        <v>57</v>
      </c>
      <c r="H459" t="s">
        <v>1246</v>
      </c>
      <c r="I459" t="s">
        <v>82</v>
      </c>
      <c r="J459" t="s">
        <v>83</v>
      </c>
      <c r="K459">
        <v>19</v>
      </c>
      <c r="L459">
        <v>116020</v>
      </c>
      <c r="M459">
        <v>94987</v>
      </c>
      <c r="N459">
        <v>21033</v>
      </c>
      <c r="O459" s="6">
        <f>Table1[[#This Row],[Profit]]/Table1[[#This Row],[Sales_Amount]]</f>
        <v>0.18128770901568694</v>
      </c>
      <c r="P459" t="s">
        <v>60</v>
      </c>
    </row>
    <row r="460" spans="1:16" x14ac:dyDescent="0.35">
      <c r="A460" t="s">
        <v>1247</v>
      </c>
      <c r="B460" t="s">
        <v>175</v>
      </c>
      <c r="C460" t="str">
        <f>TEXT(Table1[[#This Row],[Order_Date]],"mmm")</f>
        <v>Jan</v>
      </c>
      <c r="D460">
        <f>YEAR(Table1[[#This Row],[Order_Date]])</f>
        <v>2025</v>
      </c>
      <c r="E460" t="s">
        <v>55</v>
      </c>
      <c r="F460" t="s">
        <v>56</v>
      </c>
      <c r="G460" t="s">
        <v>128</v>
      </c>
      <c r="H460" t="s">
        <v>1248</v>
      </c>
      <c r="I460" t="s">
        <v>143</v>
      </c>
      <c r="J460" t="s">
        <v>51</v>
      </c>
      <c r="K460">
        <v>14</v>
      </c>
      <c r="L460">
        <v>92428</v>
      </c>
      <c r="M460">
        <v>52042</v>
      </c>
      <c r="N460">
        <v>40386</v>
      </c>
      <c r="O460" s="6">
        <f>Table1[[#This Row],[Profit]]/Table1[[#This Row],[Sales_Amount]]</f>
        <v>0.43694551434630197</v>
      </c>
      <c r="P460" t="s">
        <v>52</v>
      </c>
    </row>
    <row r="461" spans="1:16" x14ac:dyDescent="0.35">
      <c r="A461" t="s">
        <v>1249</v>
      </c>
      <c r="B461" t="s">
        <v>1250</v>
      </c>
      <c r="C461" t="str">
        <f>TEXT(Table1[[#This Row],[Order_Date]],"mmm")</f>
        <v>Aug</v>
      </c>
      <c r="D461">
        <f>YEAR(Table1[[#This Row],[Order_Date]])</f>
        <v>2025</v>
      </c>
      <c r="E461" t="s">
        <v>55</v>
      </c>
      <c r="F461" t="s">
        <v>188</v>
      </c>
      <c r="G461" t="s">
        <v>128</v>
      </c>
      <c r="H461" t="s">
        <v>1251</v>
      </c>
      <c r="I461" t="s">
        <v>125</v>
      </c>
      <c r="J461" t="s">
        <v>83</v>
      </c>
      <c r="K461">
        <v>24</v>
      </c>
      <c r="L461">
        <v>98143</v>
      </c>
      <c r="M461">
        <v>68980</v>
      </c>
      <c r="N461">
        <v>29163</v>
      </c>
      <c r="O461" s="6">
        <f>Table1[[#This Row],[Profit]]/Table1[[#This Row],[Sales_Amount]]</f>
        <v>0.29714803908582377</v>
      </c>
      <c r="P461" t="s">
        <v>98</v>
      </c>
    </row>
    <row r="462" spans="1:16" x14ac:dyDescent="0.35">
      <c r="A462" t="s">
        <v>1252</v>
      </c>
      <c r="B462" t="s">
        <v>401</v>
      </c>
      <c r="C462" t="str">
        <f>TEXT(Table1[[#This Row],[Order_Date]],"mmm")</f>
        <v>Oct</v>
      </c>
      <c r="D462">
        <f>YEAR(Table1[[#This Row],[Order_Date]])</f>
        <v>2025</v>
      </c>
      <c r="E462" t="s">
        <v>46</v>
      </c>
      <c r="F462" t="s">
        <v>74</v>
      </c>
      <c r="G462" t="s">
        <v>57</v>
      </c>
      <c r="H462" t="s">
        <v>1253</v>
      </c>
      <c r="I462" t="s">
        <v>76</v>
      </c>
      <c r="J462" t="s">
        <v>77</v>
      </c>
      <c r="K462">
        <v>20</v>
      </c>
      <c r="L462">
        <v>8190</v>
      </c>
      <c r="M462">
        <v>4778</v>
      </c>
      <c r="N462">
        <v>3412</v>
      </c>
      <c r="O462" s="6">
        <f>Table1[[#This Row],[Profit]]/Table1[[#This Row],[Sales_Amount]]</f>
        <v>0.41660561660561662</v>
      </c>
      <c r="P462" t="s">
        <v>60</v>
      </c>
    </row>
    <row r="463" spans="1:16" x14ac:dyDescent="0.35">
      <c r="A463" t="s">
        <v>1254</v>
      </c>
      <c r="B463" t="s">
        <v>382</v>
      </c>
      <c r="C463" t="str">
        <f>TEXT(Table1[[#This Row],[Order_Date]],"mmm")</f>
        <v>Jul</v>
      </c>
      <c r="D463">
        <f>YEAR(Table1[[#This Row],[Order_Date]])</f>
        <v>2025</v>
      </c>
      <c r="E463" t="s">
        <v>46</v>
      </c>
      <c r="F463" t="s">
        <v>74</v>
      </c>
      <c r="G463" t="s">
        <v>128</v>
      </c>
      <c r="H463" t="s">
        <v>1255</v>
      </c>
      <c r="I463" t="s">
        <v>125</v>
      </c>
      <c r="J463" t="s">
        <v>83</v>
      </c>
      <c r="K463">
        <v>18</v>
      </c>
      <c r="L463">
        <v>49690</v>
      </c>
      <c r="M463">
        <v>33692</v>
      </c>
      <c r="N463">
        <v>15998</v>
      </c>
      <c r="O463" s="6">
        <f>Table1[[#This Row],[Profit]]/Table1[[#This Row],[Sales_Amount]]</f>
        <v>0.32195612799356005</v>
      </c>
      <c r="P463" t="s">
        <v>98</v>
      </c>
    </row>
    <row r="464" spans="1:16" x14ac:dyDescent="0.35">
      <c r="A464" t="s">
        <v>1256</v>
      </c>
      <c r="B464" t="s">
        <v>229</v>
      </c>
      <c r="C464" t="str">
        <f>TEXT(Table1[[#This Row],[Order_Date]],"mmm")</f>
        <v>Sep</v>
      </c>
      <c r="D464">
        <f>YEAR(Table1[[#This Row],[Order_Date]])</f>
        <v>2025</v>
      </c>
      <c r="E464" t="s">
        <v>55</v>
      </c>
      <c r="F464" t="s">
        <v>56</v>
      </c>
      <c r="G464" t="s">
        <v>116</v>
      </c>
      <c r="H464" t="s">
        <v>1257</v>
      </c>
      <c r="I464" t="s">
        <v>82</v>
      </c>
      <c r="J464" t="s">
        <v>83</v>
      </c>
      <c r="K464">
        <v>12</v>
      </c>
      <c r="L464">
        <v>37030</v>
      </c>
      <c r="M464">
        <v>28577</v>
      </c>
      <c r="N464">
        <v>8453</v>
      </c>
      <c r="O464" s="6">
        <f>Table1[[#This Row],[Profit]]/Table1[[#This Row],[Sales_Amount]]</f>
        <v>0.22827437213070484</v>
      </c>
      <c r="P464" t="s">
        <v>98</v>
      </c>
    </row>
    <row r="465" spans="1:16" x14ac:dyDescent="0.35">
      <c r="A465" t="s">
        <v>1259</v>
      </c>
      <c r="B465" t="s">
        <v>1260</v>
      </c>
      <c r="C465" t="str">
        <f>TEXT(Table1[[#This Row],[Order_Date]],"mmm")</f>
        <v>Apr</v>
      </c>
      <c r="D465">
        <f>YEAR(Table1[[#This Row],[Order_Date]])</f>
        <v>2025</v>
      </c>
      <c r="E465" t="s">
        <v>46</v>
      </c>
      <c r="F465" t="s">
        <v>74</v>
      </c>
      <c r="G465" t="s">
        <v>128</v>
      </c>
      <c r="H465" t="s">
        <v>1261</v>
      </c>
      <c r="I465" t="s">
        <v>50</v>
      </c>
      <c r="J465" t="s">
        <v>51</v>
      </c>
      <c r="K465">
        <v>3</v>
      </c>
      <c r="L465">
        <v>39229</v>
      </c>
      <c r="M465">
        <v>32114</v>
      </c>
      <c r="N465">
        <v>7115</v>
      </c>
      <c r="O465" s="6">
        <f>Table1[[#This Row],[Profit]]/Table1[[#This Row],[Sales_Amount]]</f>
        <v>0.18137092457110812</v>
      </c>
      <c r="P465" t="s">
        <v>52</v>
      </c>
    </row>
    <row r="466" spans="1:16" x14ac:dyDescent="0.35">
      <c r="A466" t="s">
        <v>1262</v>
      </c>
      <c r="B466" t="s">
        <v>1263</v>
      </c>
      <c r="C466" t="str">
        <f>TEXT(Table1[[#This Row],[Order_Date]],"mmm")</f>
        <v>Aug</v>
      </c>
      <c r="D466">
        <f>YEAR(Table1[[#This Row],[Order_Date]])</f>
        <v>2025</v>
      </c>
      <c r="E466" t="s">
        <v>46</v>
      </c>
      <c r="F466" t="s">
        <v>74</v>
      </c>
      <c r="G466" t="s">
        <v>138</v>
      </c>
      <c r="H466" t="s">
        <v>1264</v>
      </c>
      <c r="I466" t="s">
        <v>125</v>
      </c>
      <c r="J466" t="s">
        <v>83</v>
      </c>
      <c r="K466">
        <v>21</v>
      </c>
      <c r="L466">
        <v>26391</v>
      </c>
      <c r="M466">
        <v>18730</v>
      </c>
      <c r="N466">
        <v>7661</v>
      </c>
      <c r="O466" s="6">
        <f>Table1[[#This Row],[Profit]]/Table1[[#This Row],[Sales_Amount]]</f>
        <v>0.29028835587889812</v>
      </c>
      <c r="P466" t="s">
        <v>98</v>
      </c>
    </row>
    <row r="467" spans="1:16" x14ac:dyDescent="0.35">
      <c r="A467" t="s">
        <v>1265</v>
      </c>
      <c r="B467" t="s">
        <v>249</v>
      </c>
      <c r="C467" t="str">
        <f>TEXT(Table1[[#This Row],[Order_Date]],"mmm")</f>
        <v>Apr</v>
      </c>
      <c r="D467">
        <f>YEAR(Table1[[#This Row],[Order_Date]])</f>
        <v>2025</v>
      </c>
      <c r="E467" t="s">
        <v>111</v>
      </c>
      <c r="F467" t="s">
        <v>112</v>
      </c>
      <c r="G467" t="s">
        <v>48</v>
      </c>
      <c r="H467" t="s">
        <v>1266</v>
      </c>
      <c r="I467" t="s">
        <v>59</v>
      </c>
      <c r="J467" t="s">
        <v>51</v>
      </c>
      <c r="K467">
        <v>16</v>
      </c>
      <c r="L467">
        <v>45533</v>
      </c>
      <c r="M467">
        <v>35446</v>
      </c>
      <c r="N467">
        <v>10087</v>
      </c>
      <c r="O467" s="6">
        <f>Table1[[#This Row],[Profit]]/Table1[[#This Row],[Sales_Amount]]</f>
        <v>0.22153163639558124</v>
      </c>
      <c r="P467" t="s">
        <v>60</v>
      </c>
    </row>
    <row r="468" spans="1:16" x14ac:dyDescent="0.35">
      <c r="A468" t="s">
        <v>1267</v>
      </c>
      <c r="B468" t="s">
        <v>1117</v>
      </c>
      <c r="C468" t="str">
        <f>TEXT(Table1[[#This Row],[Order_Date]],"mmm")</f>
        <v>Sep</v>
      </c>
      <c r="D468">
        <f>YEAR(Table1[[#This Row],[Order_Date]])</f>
        <v>2025</v>
      </c>
      <c r="E468" t="s">
        <v>55</v>
      </c>
      <c r="F468" t="s">
        <v>56</v>
      </c>
      <c r="G468" t="s">
        <v>48</v>
      </c>
      <c r="H468" t="s">
        <v>1268</v>
      </c>
      <c r="I468" t="s">
        <v>82</v>
      </c>
      <c r="J468" t="s">
        <v>83</v>
      </c>
      <c r="K468">
        <v>8</v>
      </c>
      <c r="L468">
        <v>91471</v>
      </c>
      <c r="M468">
        <v>49818</v>
      </c>
      <c r="N468">
        <v>41653</v>
      </c>
      <c r="O468" s="6">
        <f>Table1[[#This Row],[Profit]]/Table1[[#This Row],[Sales_Amount]]</f>
        <v>0.45536836811667086</v>
      </c>
      <c r="P468" t="s">
        <v>60</v>
      </c>
    </row>
    <row r="469" spans="1:16" x14ac:dyDescent="0.35">
      <c r="A469" t="s">
        <v>1269</v>
      </c>
      <c r="B469" t="s">
        <v>175</v>
      </c>
      <c r="C469" t="str">
        <f>TEXT(Table1[[#This Row],[Order_Date]],"mmm")</f>
        <v>Jan</v>
      </c>
      <c r="D469">
        <f>YEAR(Table1[[#This Row],[Order_Date]])</f>
        <v>2025</v>
      </c>
      <c r="E469" t="s">
        <v>55</v>
      </c>
      <c r="F469" t="s">
        <v>188</v>
      </c>
      <c r="G469" t="s">
        <v>138</v>
      </c>
      <c r="H469" t="s">
        <v>1270</v>
      </c>
      <c r="I469" t="s">
        <v>156</v>
      </c>
      <c r="J469" t="s">
        <v>157</v>
      </c>
      <c r="K469">
        <v>7</v>
      </c>
      <c r="L469">
        <v>80283</v>
      </c>
      <c r="M469">
        <v>63764</v>
      </c>
      <c r="N469">
        <v>16519</v>
      </c>
      <c r="O469" s="6">
        <f>Table1[[#This Row],[Profit]]/Table1[[#This Row],[Sales_Amount]]</f>
        <v>0.20575962532541137</v>
      </c>
      <c r="P469" t="s">
        <v>60</v>
      </c>
    </row>
    <row r="470" spans="1:16" x14ac:dyDescent="0.35">
      <c r="A470" t="s">
        <v>1271</v>
      </c>
      <c r="B470" t="s">
        <v>863</v>
      </c>
      <c r="C470" t="str">
        <f>TEXT(Table1[[#This Row],[Order_Date]],"mmm")</f>
        <v>Aug</v>
      </c>
      <c r="D470">
        <f>YEAR(Table1[[#This Row],[Order_Date]])</f>
        <v>2025</v>
      </c>
      <c r="E470" t="s">
        <v>55</v>
      </c>
      <c r="F470" t="s">
        <v>188</v>
      </c>
      <c r="G470" t="s">
        <v>70</v>
      </c>
      <c r="H470" t="s">
        <v>1272</v>
      </c>
      <c r="I470" t="s">
        <v>50</v>
      </c>
      <c r="J470" t="s">
        <v>51</v>
      </c>
      <c r="K470">
        <v>8</v>
      </c>
      <c r="L470">
        <v>70686</v>
      </c>
      <c r="M470">
        <v>53351</v>
      </c>
      <c r="N470">
        <v>17335</v>
      </c>
      <c r="O470" s="6">
        <f>Table1[[#This Row],[Profit]]/Table1[[#This Row],[Sales_Amount]]</f>
        <v>0.24523950994539229</v>
      </c>
      <c r="P470" t="s">
        <v>52</v>
      </c>
    </row>
    <row r="471" spans="1:16" x14ac:dyDescent="0.35">
      <c r="A471" t="s">
        <v>1273</v>
      </c>
      <c r="B471" t="s">
        <v>1274</v>
      </c>
      <c r="C471" t="str">
        <f>TEXT(Table1[[#This Row],[Order_Date]],"mmm")</f>
        <v>Oct</v>
      </c>
      <c r="D471">
        <f>YEAR(Table1[[#This Row],[Order_Date]])</f>
        <v>2025</v>
      </c>
      <c r="E471" t="s">
        <v>111</v>
      </c>
      <c r="F471" t="s">
        <v>112</v>
      </c>
      <c r="G471" t="s">
        <v>65</v>
      </c>
      <c r="H471" t="s">
        <v>1275</v>
      </c>
      <c r="I471" t="s">
        <v>143</v>
      </c>
      <c r="J471" t="s">
        <v>51</v>
      </c>
      <c r="K471">
        <v>6</v>
      </c>
      <c r="L471">
        <v>93036</v>
      </c>
      <c r="M471">
        <v>77807</v>
      </c>
      <c r="N471">
        <v>15229</v>
      </c>
      <c r="O471" s="6">
        <f>Table1[[#This Row],[Profit]]/Table1[[#This Row],[Sales_Amount]]</f>
        <v>0.16368932456253493</v>
      </c>
      <c r="P471" t="s">
        <v>121</v>
      </c>
    </row>
    <row r="472" spans="1:16" x14ac:dyDescent="0.35">
      <c r="A472" t="s">
        <v>1276</v>
      </c>
      <c r="B472" t="s">
        <v>1212</v>
      </c>
      <c r="C472" t="str">
        <f>TEXT(Table1[[#This Row],[Order_Date]],"mmm")</f>
        <v>Apr</v>
      </c>
      <c r="D472">
        <f>YEAR(Table1[[#This Row],[Order_Date]])</f>
        <v>2025</v>
      </c>
      <c r="E472" t="s">
        <v>46</v>
      </c>
      <c r="F472" t="s">
        <v>74</v>
      </c>
      <c r="G472" t="s">
        <v>138</v>
      </c>
      <c r="H472" t="s">
        <v>1277</v>
      </c>
      <c r="I472" t="s">
        <v>87</v>
      </c>
      <c r="J472" t="s">
        <v>88</v>
      </c>
      <c r="K472">
        <v>2</v>
      </c>
      <c r="L472">
        <v>87838</v>
      </c>
      <c r="M472">
        <v>65466</v>
      </c>
      <c r="N472">
        <v>22372</v>
      </c>
      <c r="O472" s="6">
        <f>Table1[[#This Row],[Profit]]/Table1[[#This Row],[Sales_Amount]]</f>
        <v>0.25469614517634737</v>
      </c>
      <c r="P472" t="s">
        <v>98</v>
      </c>
    </row>
    <row r="473" spans="1:16" x14ac:dyDescent="0.35">
      <c r="A473" t="s">
        <v>1278</v>
      </c>
      <c r="B473" t="s">
        <v>172</v>
      </c>
      <c r="C473" t="str">
        <f>TEXT(Table1[[#This Row],[Order_Date]],"mmm")</f>
        <v>Jun</v>
      </c>
      <c r="D473">
        <f>YEAR(Table1[[#This Row],[Order_Date]])</f>
        <v>2025</v>
      </c>
      <c r="E473" t="s">
        <v>111</v>
      </c>
      <c r="F473" t="s">
        <v>112</v>
      </c>
      <c r="G473" t="s">
        <v>138</v>
      </c>
      <c r="H473" t="s">
        <v>1279</v>
      </c>
      <c r="I473" t="s">
        <v>156</v>
      </c>
      <c r="J473" t="s">
        <v>157</v>
      </c>
      <c r="K473">
        <v>16</v>
      </c>
      <c r="L473">
        <v>46536</v>
      </c>
      <c r="M473">
        <v>34754</v>
      </c>
      <c r="N473">
        <v>11782</v>
      </c>
      <c r="O473" s="6">
        <f>Table1[[#This Row],[Profit]]/Table1[[#This Row],[Sales_Amount]]</f>
        <v>0.25318033350524327</v>
      </c>
      <c r="P473" t="s">
        <v>60</v>
      </c>
    </row>
    <row r="474" spans="1:16" x14ac:dyDescent="0.35">
      <c r="A474" t="s">
        <v>1280</v>
      </c>
      <c r="B474" t="s">
        <v>154</v>
      </c>
      <c r="C474" t="str">
        <f>TEXT(Table1[[#This Row],[Order_Date]],"mmm")</f>
        <v>Dec</v>
      </c>
      <c r="D474">
        <f>YEAR(Table1[[#This Row],[Order_Date]])</f>
        <v>2025</v>
      </c>
      <c r="E474" t="s">
        <v>46</v>
      </c>
      <c r="F474" t="s">
        <v>74</v>
      </c>
      <c r="G474" t="s">
        <v>57</v>
      </c>
      <c r="H474" t="s">
        <v>1281</v>
      </c>
      <c r="I474" t="s">
        <v>125</v>
      </c>
      <c r="J474" t="s">
        <v>83</v>
      </c>
      <c r="K474">
        <v>9</v>
      </c>
      <c r="L474">
        <v>52613</v>
      </c>
      <c r="M474">
        <v>38128</v>
      </c>
      <c r="N474">
        <v>14485</v>
      </c>
      <c r="O474" s="6">
        <f>Table1[[#This Row],[Profit]]/Table1[[#This Row],[Sales_Amount]]</f>
        <v>0.27531218520137607</v>
      </c>
      <c r="P474" t="s">
        <v>60</v>
      </c>
    </row>
    <row r="475" spans="1:16" x14ac:dyDescent="0.35">
      <c r="A475" t="s">
        <v>1282</v>
      </c>
      <c r="B475" t="s">
        <v>714</v>
      </c>
      <c r="C475" t="str">
        <f>TEXT(Table1[[#This Row],[Order_Date]],"mmm")</f>
        <v>Jan</v>
      </c>
      <c r="D475">
        <f>YEAR(Table1[[#This Row],[Order_Date]])</f>
        <v>2025</v>
      </c>
      <c r="E475" t="s">
        <v>111</v>
      </c>
      <c r="F475" t="s">
        <v>169</v>
      </c>
      <c r="G475" t="s">
        <v>138</v>
      </c>
      <c r="H475" t="s">
        <v>1283</v>
      </c>
      <c r="I475" t="s">
        <v>67</v>
      </c>
      <c r="J475" t="s">
        <v>51</v>
      </c>
      <c r="K475">
        <v>7</v>
      </c>
      <c r="L475">
        <v>91993</v>
      </c>
      <c r="M475">
        <v>51160</v>
      </c>
      <c r="N475">
        <v>40833</v>
      </c>
      <c r="O475" s="6">
        <f>Table1[[#This Row],[Profit]]/Table1[[#This Row],[Sales_Amount]]</f>
        <v>0.44387072929462024</v>
      </c>
      <c r="P475" t="s">
        <v>121</v>
      </c>
    </row>
    <row r="476" spans="1:16" x14ac:dyDescent="0.35">
      <c r="A476" t="s">
        <v>1284</v>
      </c>
      <c r="B476" t="s">
        <v>1285</v>
      </c>
      <c r="C476" t="str">
        <f>TEXT(Table1[[#This Row],[Order_Date]],"mmm")</f>
        <v>Apr</v>
      </c>
      <c r="D476">
        <f>YEAR(Table1[[#This Row],[Order_Date]])</f>
        <v>2025</v>
      </c>
      <c r="E476" t="s">
        <v>46</v>
      </c>
      <c r="F476" t="s">
        <v>74</v>
      </c>
      <c r="G476" t="s">
        <v>116</v>
      </c>
      <c r="H476" t="s">
        <v>1286</v>
      </c>
      <c r="I476" t="s">
        <v>82</v>
      </c>
      <c r="J476" t="s">
        <v>83</v>
      </c>
      <c r="K476">
        <v>14</v>
      </c>
      <c r="L476">
        <v>4108</v>
      </c>
      <c r="M476">
        <v>3329</v>
      </c>
      <c r="N476">
        <v>779</v>
      </c>
      <c r="O476" s="6">
        <f>Table1[[#This Row],[Profit]]/Table1[[#This Row],[Sales_Amount]]</f>
        <v>0.18962999026290164</v>
      </c>
      <c r="P476" t="s">
        <v>60</v>
      </c>
    </row>
    <row r="477" spans="1:16" x14ac:dyDescent="0.35">
      <c r="A477" t="s">
        <v>1287</v>
      </c>
      <c r="B477" t="s">
        <v>1288</v>
      </c>
      <c r="C477" t="str">
        <f>TEXT(Table1[[#This Row],[Order_Date]],"mmm")</f>
        <v>Oct</v>
      </c>
      <c r="D477">
        <f>YEAR(Table1[[#This Row],[Order_Date]])</f>
        <v>2025</v>
      </c>
      <c r="E477" t="s">
        <v>111</v>
      </c>
      <c r="F477" t="s">
        <v>112</v>
      </c>
      <c r="G477" t="s">
        <v>138</v>
      </c>
      <c r="H477" t="s">
        <v>1289</v>
      </c>
      <c r="I477" t="s">
        <v>59</v>
      </c>
      <c r="J477" t="s">
        <v>51</v>
      </c>
      <c r="K477">
        <v>24</v>
      </c>
      <c r="L477">
        <v>90999</v>
      </c>
      <c r="M477">
        <v>71606</v>
      </c>
      <c r="N477">
        <v>19393</v>
      </c>
      <c r="O477" s="6">
        <f>Table1[[#This Row],[Profit]]/Table1[[#This Row],[Sales_Amount]]</f>
        <v>0.21311223200254947</v>
      </c>
      <c r="P477" t="s">
        <v>98</v>
      </c>
    </row>
    <row r="478" spans="1:16" x14ac:dyDescent="0.35">
      <c r="A478" t="s">
        <v>1290</v>
      </c>
      <c r="B478" t="s">
        <v>583</v>
      </c>
      <c r="C478" t="str">
        <f>TEXT(Table1[[#This Row],[Order_Date]],"mmm")</f>
        <v>Jul</v>
      </c>
      <c r="D478">
        <f>YEAR(Table1[[#This Row],[Order_Date]])</f>
        <v>2025</v>
      </c>
      <c r="E478" t="s">
        <v>63</v>
      </c>
      <c r="F478" t="s">
        <v>104</v>
      </c>
      <c r="G478" t="s">
        <v>65</v>
      </c>
      <c r="H478" t="s">
        <v>1291</v>
      </c>
      <c r="I478" t="s">
        <v>143</v>
      </c>
      <c r="J478" t="s">
        <v>51</v>
      </c>
      <c r="K478">
        <v>8</v>
      </c>
      <c r="L478">
        <v>25089</v>
      </c>
      <c r="M478">
        <v>18471</v>
      </c>
      <c r="N478">
        <v>6618</v>
      </c>
      <c r="O478" s="6">
        <f>Table1[[#This Row],[Profit]]/Table1[[#This Row],[Sales_Amount]]</f>
        <v>0.26378093985411932</v>
      </c>
      <c r="P478" t="s">
        <v>60</v>
      </c>
    </row>
    <row r="479" spans="1:16" x14ac:dyDescent="0.35">
      <c r="A479" t="s">
        <v>1292</v>
      </c>
      <c r="B479" t="s">
        <v>1293</v>
      </c>
      <c r="C479" t="str">
        <f>TEXT(Table1[[#This Row],[Order_Date]],"mmm")</f>
        <v>Mar</v>
      </c>
      <c r="D479">
        <f>YEAR(Table1[[#This Row],[Order_Date]])</f>
        <v>2025</v>
      </c>
      <c r="E479" t="s">
        <v>111</v>
      </c>
      <c r="F479" t="s">
        <v>169</v>
      </c>
      <c r="G479" t="s">
        <v>48</v>
      </c>
      <c r="H479" t="s">
        <v>1294</v>
      </c>
      <c r="I479" t="s">
        <v>59</v>
      </c>
      <c r="J479" t="s">
        <v>51</v>
      </c>
      <c r="K479">
        <v>14</v>
      </c>
      <c r="L479">
        <v>43305</v>
      </c>
      <c r="M479">
        <v>35866</v>
      </c>
      <c r="N479">
        <v>7439</v>
      </c>
      <c r="O479" s="6">
        <f>Table1[[#This Row],[Profit]]/Table1[[#This Row],[Sales_Amount]]</f>
        <v>0.17178154947465651</v>
      </c>
      <c r="P479" t="s">
        <v>98</v>
      </c>
    </row>
    <row r="480" spans="1:16" x14ac:dyDescent="0.35">
      <c r="A480" t="s">
        <v>1295</v>
      </c>
      <c r="B480" t="s">
        <v>537</v>
      </c>
      <c r="C480" t="str">
        <f>TEXT(Table1[[#This Row],[Order_Date]],"mmm")</f>
        <v>Oct</v>
      </c>
      <c r="D480">
        <f>YEAR(Table1[[#This Row],[Order_Date]])</f>
        <v>2025</v>
      </c>
      <c r="E480" t="s">
        <v>55</v>
      </c>
      <c r="F480" t="s">
        <v>188</v>
      </c>
      <c r="G480" t="s">
        <v>48</v>
      </c>
      <c r="H480" t="s">
        <v>1296</v>
      </c>
      <c r="I480" t="s">
        <v>76</v>
      </c>
      <c r="J480" t="s">
        <v>77</v>
      </c>
      <c r="K480">
        <v>15</v>
      </c>
      <c r="L480">
        <v>117647</v>
      </c>
      <c r="M480">
        <v>67214</v>
      </c>
      <c r="N480">
        <v>50433</v>
      </c>
      <c r="O480" s="6">
        <f>Table1[[#This Row],[Profit]]/Table1[[#This Row],[Sales_Amount]]</f>
        <v>0.42868071434035715</v>
      </c>
      <c r="P480" t="s">
        <v>98</v>
      </c>
    </row>
    <row r="481" spans="1:16" x14ac:dyDescent="0.35">
      <c r="A481" t="s">
        <v>1297</v>
      </c>
      <c r="B481" t="s">
        <v>1238</v>
      </c>
      <c r="C481" t="str">
        <f>TEXT(Table1[[#This Row],[Order_Date]],"mmm")</f>
        <v>Jan</v>
      </c>
      <c r="D481">
        <f>YEAR(Table1[[#This Row],[Order_Date]])</f>
        <v>2025</v>
      </c>
      <c r="E481" t="s">
        <v>46</v>
      </c>
      <c r="F481" t="s">
        <v>47</v>
      </c>
      <c r="G481" t="s">
        <v>57</v>
      </c>
      <c r="H481" t="s">
        <v>1298</v>
      </c>
      <c r="I481" t="s">
        <v>125</v>
      </c>
      <c r="J481" t="s">
        <v>83</v>
      </c>
      <c r="K481">
        <v>19</v>
      </c>
      <c r="L481">
        <v>33427</v>
      </c>
      <c r="M481">
        <v>17660</v>
      </c>
      <c r="N481">
        <v>15767</v>
      </c>
      <c r="O481" s="6">
        <f>Table1[[#This Row],[Profit]]/Table1[[#This Row],[Sales_Amount]]</f>
        <v>0.47168456636850448</v>
      </c>
      <c r="P481" t="s">
        <v>60</v>
      </c>
    </row>
    <row r="482" spans="1:16" x14ac:dyDescent="0.35">
      <c r="A482" t="s">
        <v>1299</v>
      </c>
      <c r="B482" t="s">
        <v>137</v>
      </c>
      <c r="C482" t="str">
        <f>TEXT(Table1[[#This Row],[Order_Date]],"mmm")</f>
        <v>Jul</v>
      </c>
      <c r="D482">
        <f>YEAR(Table1[[#This Row],[Order_Date]])</f>
        <v>2025</v>
      </c>
      <c r="E482" t="s">
        <v>63</v>
      </c>
      <c r="F482" t="s">
        <v>104</v>
      </c>
      <c r="G482" t="s">
        <v>48</v>
      </c>
      <c r="H482" t="s">
        <v>1300</v>
      </c>
      <c r="I482" t="s">
        <v>87</v>
      </c>
      <c r="J482" t="s">
        <v>88</v>
      </c>
      <c r="K482">
        <v>13</v>
      </c>
      <c r="L482">
        <v>99019</v>
      </c>
      <c r="M482">
        <v>75182</v>
      </c>
      <c r="N482">
        <v>23837</v>
      </c>
      <c r="O482" s="6">
        <f>Table1[[#This Row],[Profit]]/Table1[[#This Row],[Sales_Amount]]</f>
        <v>0.24073157676809501</v>
      </c>
      <c r="P482" t="s">
        <v>52</v>
      </c>
    </row>
    <row r="483" spans="1:16" x14ac:dyDescent="0.35">
      <c r="A483" t="s">
        <v>1301</v>
      </c>
      <c r="B483" t="s">
        <v>471</v>
      </c>
      <c r="C483" t="str">
        <f>TEXT(Table1[[#This Row],[Order_Date]],"mmm")</f>
        <v>Mar</v>
      </c>
      <c r="D483">
        <f>YEAR(Table1[[#This Row],[Order_Date]])</f>
        <v>2025</v>
      </c>
      <c r="E483" t="s">
        <v>46</v>
      </c>
      <c r="F483" t="s">
        <v>74</v>
      </c>
      <c r="G483" t="s">
        <v>116</v>
      </c>
      <c r="H483" t="s">
        <v>480</v>
      </c>
      <c r="I483" t="s">
        <v>50</v>
      </c>
      <c r="J483" t="s">
        <v>51</v>
      </c>
      <c r="K483">
        <v>6</v>
      </c>
      <c r="L483">
        <v>119081</v>
      </c>
      <c r="M483">
        <v>93875</v>
      </c>
      <c r="N483">
        <v>25206</v>
      </c>
      <c r="O483" s="6">
        <f>Table1[[#This Row],[Profit]]/Table1[[#This Row],[Sales_Amount]]</f>
        <v>0.21167104743829829</v>
      </c>
      <c r="P483" t="s">
        <v>121</v>
      </c>
    </row>
    <row r="484" spans="1:16" x14ac:dyDescent="0.35">
      <c r="A484" t="s">
        <v>1302</v>
      </c>
      <c r="B484" t="s">
        <v>1072</v>
      </c>
      <c r="C484" t="str">
        <f>TEXT(Table1[[#This Row],[Order_Date]],"mmm")</f>
        <v>Sep</v>
      </c>
      <c r="D484">
        <f>YEAR(Table1[[#This Row],[Order_Date]])</f>
        <v>2025</v>
      </c>
      <c r="E484" t="s">
        <v>55</v>
      </c>
      <c r="F484" t="s">
        <v>188</v>
      </c>
      <c r="G484" t="s">
        <v>48</v>
      </c>
      <c r="H484" t="s">
        <v>1303</v>
      </c>
      <c r="I484" t="s">
        <v>82</v>
      </c>
      <c r="J484" t="s">
        <v>83</v>
      </c>
      <c r="K484">
        <v>22</v>
      </c>
      <c r="L484">
        <v>23345</v>
      </c>
      <c r="M484">
        <v>12218</v>
      </c>
      <c r="N484">
        <v>11127</v>
      </c>
      <c r="O484" s="6">
        <f>Table1[[#This Row],[Profit]]/Table1[[#This Row],[Sales_Amount]]</f>
        <v>0.47663311201542086</v>
      </c>
      <c r="P484" t="s">
        <v>98</v>
      </c>
    </row>
    <row r="485" spans="1:16" x14ac:dyDescent="0.35">
      <c r="A485" t="s">
        <v>1304</v>
      </c>
      <c r="B485" t="s">
        <v>659</v>
      </c>
      <c r="C485" t="str">
        <f>TEXT(Table1[[#This Row],[Order_Date]],"mmm")</f>
        <v>Jan</v>
      </c>
      <c r="D485">
        <f>YEAR(Table1[[#This Row],[Order_Date]])</f>
        <v>2025</v>
      </c>
      <c r="E485" t="s">
        <v>46</v>
      </c>
      <c r="F485" t="s">
        <v>74</v>
      </c>
      <c r="G485" t="s">
        <v>138</v>
      </c>
      <c r="H485" t="s">
        <v>1305</v>
      </c>
      <c r="I485" t="s">
        <v>143</v>
      </c>
      <c r="J485" t="s">
        <v>51</v>
      </c>
      <c r="K485">
        <v>19</v>
      </c>
      <c r="L485">
        <v>42002</v>
      </c>
      <c r="M485">
        <v>25139</v>
      </c>
      <c r="N485">
        <v>16863</v>
      </c>
      <c r="O485" s="6">
        <f>Table1[[#This Row],[Profit]]/Table1[[#This Row],[Sales_Amount]]</f>
        <v>0.40148088186276842</v>
      </c>
      <c r="P485" t="s">
        <v>52</v>
      </c>
    </row>
    <row r="486" spans="1:16" x14ac:dyDescent="0.35">
      <c r="A486" t="s">
        <v>1306</v>
      </c>
      <c r="B486" t="s">
        <v>1307</v>
      </c>
      <c r="C486" t="str">
        <f>TEXT(Table1[[#This Row],[Order_Date]],"mmm")</f>
        <v>Sep</v>
      </c>
      <c r="D486">
        <f>YEAR(Table1[[#This Row],[Order_Date]])</f>
        <v>2025</v>
      </c>
      <c r="E486" t="s">
        <v>63</v>
      </c>
      <c r="F486" t="s">
        <v>104</v>
      </c>
      <c r="G486" t="s">
        <v>65</v>
      </c>
      <c r="H486" t="s">
        <v>1308</v>
      </c>
      <c r="I486" t="s">
        <v>59</v>
      </c>
      <c r="J486" t="s">
        <v>51</v>
      </c>
      <c r="K486">
        <v>3</v>
      </c>
      <c r="L486">
        <v>15065</v>
      </c>
      <c r="M486">
        <v>10019</v>
      </c>
      <c r="N486">
        <v>5046</v>
      </c>
      <c r="O486" s="6">
        <f>Table1[[#This Row],[Profit]]/Table1[[#This Row],[Sales_Amount]]</f>
        <v>0.33494855625622305</v>
      </c>
      <c r="P486" t="s">
        <v>60</v>
      </c>
    </row>
    <row r="487" spans="1:16" x14ac:dyDescent="0.35">
      <c r="A487" t="s">
        <v>1309</v>
      </c>
      <c r="B487" t="s">
        <v>678</v>
      </c>
      <c r="C487" t="str">
        <f>TEXT(Table1[[#This Row],[Order_Date]],"mmm")</f>
        <v>Feb</v>
      </c>
      <c r="D487">
        <f>YEAR(Table1[[#This Row],[Order_Date]])</f>
        <v>2025</v>
      </c>
      <c r="E487" t="s">
        <v>63</v>
      </c>
      <c r="F487" t="s">
        <v>64</v>
      </c>
      <c r="G487" t="s">
        <v>128</v>
      </c>
      <c r="H487" t="s">
        <v>1310</v>
      </c>
      <c r="I487" t="s">
        <v>59</v>
      </c>
      <c r="J487" t="s">
        <v>51</v>
      </c>
      <c r="K487">
        <v>10</v>
      </c>
      <c r="L487">
        <v>75527</v>
      </c>
      <c r="M487">
        <v>59602</v>
      </c>
      <c r="N487">
        <v>15925</v>
      </c>
      <c r="O487" s="6">
        <f>Table1[[#This Row],[Profit]]/Table1[[#This Row],[Sales_Amount]]</f>
        <v>0.21085174838137355</v>
      </c>
      <c r="P487" t="s">
        <v>60</v>
      </c>
    </row>
    <row r="488" spans="1:16" x14ac:dyDescent="0.35">
      <c r="A488" t="s">
        <v>1311</v>
      </c>
      <c r="B488" t="s">
        <v>1312</v>
      </c>
      <c r="C488" t="str">
        <f>TEXT(Table1[[#This Row],[Order_Date]],"mmm")</f>
        <v>Sep</v>
      </c>
      <c r="D488">
        <f>YEAR(Table1[[#This Row],[Order_Date]])</f>
        <v>2025</v>
      </c>
      <c r="E488" t="s">
        <v>63</v>
      </c>
      <c r="F488" t="s">
        <v>104</v>
      </c>
      <c r="G488" t="s">
        <v>80</v>
      </c>
      <c r="H488" t="s">
        <v>1313</v>
      </c>
      <c r="I488" t="s">
        <v>82</v>
      </c>
      <c r="J488" t="s">
        <v>83</v>
      </c>
      <c r="K488">
        <v>1</v>
      </c>
      <c r="L488">
        <v>78118</v>
      </c>
      <c r="M488">
        <v>60113</v>
      </c>
      <c r="N488">
        <v>18005</v>
      </c>
      <c r="O488" s="6">
        <f>Table1[[#This Row],[Profit]]/Table1[[#This Row],[Sales_Amount]]</f>
        <v>0.23048465142476765</v>
      </c>
      <c r="P488" t="s">
        <v>52</v>
      </c>
    </row>
    <row r="489" spans="1:16" x14ac:dyDescent="0.35">
      <c r="A489" t="s">
        <v>1314</v>
      </c>
      <c r="B489" t="s">
        <v>482</v>
      </c>
      <c r="C489" t="str">
        <f>TEXT(Table1[[#This Row],[Order_Date]],"mmm")</f>
        <v>May</v>
      </c>
      <c r="D489">
        <f>YEAR(Table1[[#This Row],[Order_Date]])</f>
        <v>2025</v>
      </c>
      <c r="E489" t="s">
        <v>55</v>
      </c>
      <c r="F489" t="s">
        <v>56</v>
      </c>
      <c r="G489" t="s">
        <v>80</v>
      </c>
      <c r="H489" t="s">
        <v>1315</v>
      </c>
      <c r="I489" t="s">
        <v>125</v>
      </c>
      <c r="J489" t="s">
        <v>83</v>
      </c>
      <c r="K489">
        <v>20</v>
      </c>
      <c r="L489">
        <v>78471</v>
      </c>
      <c r="M489">
        <v>51832</v>
      </c>
      <c r="N489">
        <v>26639</v>
      </c>
      <c r="O489" s="6">
        <f>Table1[[#This Row],[Profit]]/Table1[[#This Row],[Sales_Amount]]</f>
        <v>0.33947572988747438</v>
      </c>
      <c r="P489" t="s">
        <v>60</v>
      </c>
    </row>
    <row r="490" spans="1:16" x14ac:dyDescent="0.35">
      <c r="A490" t="s">
        <v>1316</v>
      </c>
      <c r="B490" t="s">
        <v>328</v>
      </c>
      <c r="C490" t="str">
        <f>TEXT(Table1[[#This Row],[Order_Date]],"mmm")</f>
        <v>Apr</v>
      </c>
      <c r="D490">
        <f>YEAR(Table1[[#This Row],[Order_Date]])</f>
        <v>2025</v>
      </c>
      <c r="E490" t="s">
        <v>46</v>
      </c>
      <c r="F490" t="s">
        <v>74</v>
      </c>
      <c r="G490" t="s">
        <v>48</v>
      </c>
      <c r="H490" t="s">
        <v>1317</v>
      </c>
      <c r="I490" t="s">
        <v>156</v>
      </c>
      <c r="J490" t="s">
        <v>157</v>
      </c>
      <c r="K490">
        <v>8</v>
      </c>
      <c r="L490">
        <v>108326</v>
      </c>
      <c r="M490">
        <v>50373</v>
      </c>
      <c r="N490">
        <v>57953</v>
      </c>
      <c r="O490" s="6">
        <f>Table1[[#This Row],[Profit]]/Table1[[#This Row],[Sales_Amount]]</f>
        <v>0.53498698373428355</v>
      </c>
      <c r="P490" t="s">
        <v>60</v>
      </c>
    </row>
    <row r="491" spans="1:16" x14ac:dyDescent="0.35">
      <c r="A491" t="s">
        <v>1318</v>
      </c>
      <c r="B491" t="s">
        <v>1245</v>
      </c>
      <c r="C491" t="str">
        <f>TEXT(Table1[[#This Row],[Order_Date]],"mmm")</f>
        <v>Sep</v>
      </c>
      <c r="D491">
        <f>YEAR(Table1[[#This Row],[Order_Date]])</f>
        <v>2025</v>
      </c>
      <c r="E491" t="s">
        <v>46</v>
      </c>
      <c r="F491" t="s">
        <v>74</v>
      </c>
      <c r="G491" t="s">
        <v>57</v>
      </c>
      <c r="H491" t="s">
        <v>1319</v>
      </c>
      <c r="I491" t="s">
        <v>59</v>
      </c>
      <c r="J491" t="s">
        <v>51</v>
      </c>
      <c r="K491">
        <v>25</v>
      </c>
      <c r="L491">
        <v>65549</v>
      </c>
      <c r="M491">
        <v>48307</v>
      </c>
      <c r="N491">
        <v>17242</v>
      </c>
      <c r="O491" s="6">
        <f>Table1[[#This Row],[Profit]]/Table1[[#This Row],[Sales_Amount]]</f>
        <v>0.26303986330836471</v>
      </c>
      <c r="P491" t="s">
        <v>121</v>
      </c>
    </row>
    <row r="492" spans="1:16" x14ac:dyDescent="0.35">
      <c r="A492" t="s">
        <v>1320</v>
      </c>
      <c r="B492" t="s">
        <v>1321</v>
      </c>
      <c r="C492" t="str">
        <f>TEXT(Table1[[#This Row],[Order_Date]],"mmm")</f>
        <v>Aug</v>
      </c>
      <c r="D492">
        <f>YEAR(Table1[[#This Row],[Order_Date]])</f>
        <v>2025</v>
      </c>
      <c r="E492" t="s">
        <v>111</v>
      </c>
      <c r="F492" t="s">
        <v>169</v>
      </c>
      <c r="G492" t="s">
        <v>57</v>
      </c>
      <c r="H492" t="s">
        <v>1322</v>
      </c>
      <c r="I492" t="s">
        <v>156</v>
      </c>
      <c r="J492" t="s">
        <v>157</v>
      </c>
      <c r="K492">
        <v>25</v>
      </c>
      <c r="L492">
        <v>74549</v>
      </c>
      <c r="M492">
        <v>34042</v>
      </c>
      <c r="N492">
        <v>40507</v>
      </c>
      <c r="O492" s="6">
        <f>Table1[[#This Row],[Profit]]/Table1[[#This Row],[Sales_Amount]]</f>
        <v>0.54336074259882761</v>
      </c>
      <c r="P492" t="s">
        <v>98</v>
      </c>
    </row>
    <row r="493" spans="1:16" x14ac:dyDescent="0.35">
      <c r="A493" t="s">
        <v>1323</v>
      </c>
      <c r="B493" t="s">
        <v>107</v>
      </c>
      <c r="C493" t="str">
        <f>TEXT(Table1[[#This Row],[Order_Date]],"mmm")</f>
        <v>Sep</v>
      </c>
      <c r="D493">
        <f>YEAR(Table1[[#This Row],[Order_Date]])</f>
        <v>2025</v>
      </c>
      <c r="E493" t="s">
        <v>111</v>
      </c>
      <c r="F493" t="s">
        <v>112</v>
      </c>
      <c r="G493" t="s">
        <v>48</v>
      </c>
      <c r="H493" t="s">
        <v>1324</v>
      </c>
      <c r="I493" t="s">
        <v>143</v>
      </c>
      <c r="J493" t="s">
        <v>51</v>
      </c>
      <c r="K493">
        <v>19</v>
      </c>
      <c r="L493">
        <v>31616</v>
      </c>
      <c r="M493">
        <v>16450</v>
      </c>
      <c r="N493">
        <v>15166</v>
      </c>
      <c r="O493" s="6">
        <f>Table1[[#This Row],[Profit]]/Table1[[#This Row],[Sales_Amount]]</f>
        <v>0.47969382591093118</v>
      </c>
      <c r="P493" t="s">
        <v>98</v>
      </c>
    </row>
    <row r="494" spans="1:16" x14ac:dyDescent="0.35">
      <c r="A494" t="s">
        <v>1325</v>
      </c>
      <c r="B494" t="s">
        <v>1181</v>
      </c>
      <c r="C494" t="str">
        <f>TEXT(Table1[[#This Row],[Order_Date]],"mmm")</f>
        <v>Mar</v>
      </c>
      <c r="D494">
        <f>YEAR(Table1[[#This Row],[Order_Date]])</f>
        <v>2025</v>
      </c>
      <c r="E494" t="s">
        <v>55</v>
      </c>
      <c r="F494" t="s">
        <v>188</v>
      </c>
      <c r="G494" t="s">
        <v>65</v>
      </c>
      <c r="H494" t="s">
        <v>653</v>
      </c>
      <c r="I494" t="s">
        <v>50</v>
      </c>
      <c r="J494" t="s">
        <v>51</v>
      </c>
      <c r="K494">
        <v>12</v>
      </c>
      <c r="L494">
        <v>9767</v>
      </c>
      <c r="M494">
        <v>7640</v>
      </c>
      <c r="N494">
        <v>2127</v>
      </c>
      <c r="O494" s="6">
        <f>Table1[[#This Row],[Profit]]/Table1[[#This Row],[Sales_Amount]]</f>
        <v>0.21777413740145388</v>
      </c>
      <c r="P494" t="s">
        <v>121</v>
      </c>
    </row>
    <row r="495" spans="1:16" x14ac:dyDescent="0.35">
      <c r="A495" t="s">
        <v>1326</v>
      </c>
      <c r="B495" t="s">
        <v>997</v>
      </c>
      <c r="C495" t="str">
        <f>TEXT(Table1[[#This Row],[Order_Date]],"mmm")</f>
        <v>Jan</v>
      </c>
      <c r="D495">
        <f>YEAR(Table1[[#This Row],[Order_Date]])</f>
        <v>2025</v>
      </c>
      <c r="E495" t="s">
        <v>46</v>
      </c>
      <c r="F495" t="s">
        <v>74</v>
      </c>
      <c r="G495" t="s">
        <v>48</v>
      </c>
      <c r="H495" t="s">
        <v>1327</v>
      </c>
      <c r="I495" t="s">
        <v>67</v>
      </c>
      <c r="J495" t="s">
        <v>51</v>
      </c>
      <c r="K495">
        <v>24</v>
      </c>
      <c r="L495">
        <v>95407</v>
      </c>
      <c r="M495">
        <v>57050</v>
      </c>
      <c r="N495">
        <v>38357</v>
      </c>
      <c r="O495" s="6">
        <f>Table1[[#This Row],[Profit]]/Table1[[#This Row],[Sales_Amount]]</f>
        <v>0.40203549005838146</v>
      </c>
      <c r="P495" t="s">
        <v>60</v>
      </c>
    </row>
    <row r="496" spans="1:16" x14ac:dyDescent="0.35">
      <c r="A496" t="s">
        <v>1328</v>
      </c>
      <c r="B496" t="s">
        <v>515</v>
      </c>
      <c r="C496" t="str">
        <f>TEXT(Table1[[#This Row],[Order_Date]],"mmm")</f>
        <v>Nov</v>
      </c>
      <c r="D496">
        <f>YEAR(Table1[[#This Row],[Order_Date]])</f>
        <v>2025</v>
      </c>
      <c r="E496" t="s">
        <v>46</v>
      </c>
      <c r="F496" t="s">
        <v>47</v>
      </c>
      <c r="G496" t="s">
        <v>128</v>
      </c>
      <c r="H496" t="s">
        <v>1329</v>
      </c>
      <c r="I496" t="s">
        <v>156</v>
      </c>
      <c r="J496" t="s">
        <v>157</v>
      </c>
      <c r="K496">
        <v>5</v>
      </c>
      <c r="L496">
        <v>99835</v>
      </c>
      <c r="M496">
        <v>54458</v>
      </c>
      <c r="N496">
        <v>45377</v>
      </c>
      <c r="O496" s="6">
        <f>Table1[[#This Row],[Profit]]/Table1[[#This Row],[Sales_Amount]]</f>
        <v>0.45451995793058547</v>
      </c>
      <c r="P496" t="s">
        <v>60</v>
      </c>
    </row>
    <row r="497" spans="1:16" x14ac:dyDescent="0.35">
      <c r="A497" t="s">
        <v>1330</v>
      </c>
      <c r="B497" t="s">
        <v>293</v>
      </c>
      <c r="C497" t="str">
        <f>TEXT(Table1[[#This Row],[Order_Date]],"mmm")</f>
        <v>Sep</v>
      </c>
      <c r="D497">
        <f>YEAR(Table1[[#This Row],[Order_Date]])</f>
        <v>2025</v>
      </c>
      <c r="E497" t="s">
        <v>63</v>
      </c>
      <c r="F497" t="s">
        <v>64</v>
      </c>
      <c r="G497" t="s">
        <v>80</v>
      </c>
      <c r="H497" t="s">
        <v>1331</v>
      </c>
      <c r="I497" t="s">
        <v>59</v>
      </c>
      <c r="J497" t="s">
        <v>51</v>
      </c>
      <c r="K497">
        <v>7</v>
      </c>
      <c r="L497">
        <v>105392</v>
      </c>
      <c r="M497">
        <v>85010</v>
      </c>
      <c r="N497">
        <v>20382</v>
      </c>
      <c r="O497" s="6">
        <f>Table1[[#This Row],[Profit]]/Table1[[#This Row],[Sales_Amount]]</f>
        <v>0.19339228783968423</v>
      </c>
      <c r="P497" t="s">
        <v>98</v>
      </c>
    </row>
    <row r="498" spans="1:16" x14ac:dyDescent="0.35">
      <c r="A498" t="s">
        <v>1332</v>
      </c>
      <c r="B498" t="s">
        <v>1333</v>
      </c>
      <c r="C498" t="str">
        <f>TEXT(Table1[[#This Row],[Order_Date]],"mmm")</f>
        <v>May</v>
      </c>
      <c r="D498">
        <f>YEAR(Table1[[#This Row],[Order_Date]])</f>
        <v>2025</v>
      </c>
      <c r="E498" t="s">
        <v>55</v>
      </c>
      <c r="F498" t="s">
        <v>188</v>
      </c>
      <c r="G498" t="s">
        <v>128</v>
      </c>
      <c r="H498" t="s">
        <v>1334</v>
      </c>
      <c r="I498" t="s">
        <v>143</v>
      </c>
      <c r="J498" t="s">
        <v>51</v>
      </c>
      <c r="K498">
        <v>13</v>
      </c>
      <c r="L498">
        <v>88847</v>
      </c>
      <c r="M498">
        <v>62439</v>
      </c>
      <c r="N498">
        <v>26408</v>
      </c>
      <c r="O498" s="6">
        <f>Table1[[#This Row],[Profit]]/Table1[[#This Row],[Sales_Amount]]</f>
        <v>0.29723006967033216</v>
      </c>
      <c r="P498" t="s">
        <v>60</v>
      </c>
    </row>
    <row r="499" spans="1:16" x14ac:dyDescent="0.35">
      <c r="A499" t="s">
        <v>1335</v>
      </c>
      <c r="B499" t="s">
        <v>351</v>
      </c>
      <c r="C499" t="str">
        <f>TEXT(Table1[[#This Row],[Order_Date]],"mmm")</f>
        <v>Jan</v>
      </c>
      <c r="D499">
        <f>YEAR(Table1[[#This Row],[Order_Date]])</f>
        <v>2025</v>
      </c>
      <c r="E499" t="s">
        <v>63</v>
      </c>
      <c r="F499" t="s">
        <v>64</v>
      </c>
      <c r="G499" t="s">
        <v>138</v>
      </c>
      <c r="H499" t="s">
        <v>1336</v>
      </c>
      <c r="I499" t="s">
        <v>59</v>
      </c>
      <c r="J499" t="s">
        <v>51</v>
      </c>
      <c r="K499">
        <v>16</v>
      </c>
      <c r="L499">
        <v>92136</v>
      </c>
      <c r="M499">
        <v>59964</v>
      </c>
      <c r="N499">
        <v>32172</v>
      </c>
      <c r="O499" s="6">
        <f>Table1[[#This Row],[Profit]]/Table1[[#This Row],[Sales_Amount]]</f>
        <v>0.34917947382130765</v>
      </c>
      <c r="P499" t="s">
        <v>98</v>
      </c>
    </row>
    <row r="500" spans="1:16" x14ac:dyDescent="0.35">
      <c r="A500" t="s">
        <v>1337</v>
      </c>
      <c r="B500" t="s">
        <v>154</v>
      </c>
      <c r="C500" t="str">
        <f>TEXT(Table1[[#This Row],[Order_Date]],"mmm")</f>
        <v>Dec</v>
      </c>
      <c r="D500">
        <f>YEAR(Table1[[#This Row],[Order_Date]])</f>
        <v>2025</v>
      </c>
      <c r="E500" t="s">
        <v>46</v>
      </c>
      <c r="F500" t="s">
        <v>74</v>
      </c>
      <c r="G500" t="s">
        <v>116</v>
      </c>
      <c r="H500" t="s">
        <v>1338</v>
      </c>
      <c r="I500" t="s">
        <v>87</v>
      </c>
      <c r="J500" t="s">
        <v>88</v>
      </c>
      <c r="K500">
        <v>11</v>
      </c>
      <c r="L500">
        <v>92638</v>
      </c>
      <c r="M500">
        <v>68371</v>
      </c>
      <c r="N500">
        <v>24267</v>
      </c>
      <c r="O500" s="6">
        <f>Table1[[#This Row],[Profit]]/Table1[[#This Row],[Sales_Amount]]</f>
        <v>0.26195513720071678</v>
      </c>
      <c r="P500" t="s">
        <v>98</v>
      </c>
    </row>
    <row r="501" spans="1:16" x14ac:dyDescent="0.35">
      <c r="A501" t="s">
        <v>1339</v>
      </c>
      <c r="B501" t="s">
        <v>1340</v>
      </c>
      <c r="C501" t="str">
        <f>TEXT(Table1[[#This Row],[Order_Date]],"mmm")</f>
        <v>Nov</v>
      </c>
      <c r="D501">
        <f>YEAR(Table1[[#This Row],[Order_Date]])</f>
        <v>2025</v>
      </c>
      <c r="E501" t="s">
        <v>55</v>
      </c>
      <c r="F501" t="s">
        <v>56</v>
      </c>
      <c r="G501" t="s">
        <v>57</v>
      </c>
      <c r="H501" t="s">
        <v>1341</v>
      </c>
      <c r="I501" t="s">
        <v>76</v>
      </c>
      <c r="J501" t="s">
        <v>77</v>
      </c>
      <c r="K501">
        <v>9</v>
      </c>
      <c r="L501">
        <v>67375</v>
      </c>
      <c r="M501">
        <v>35173</v>
      </c>
      <c r="N501">
        <v>32202</v>
      </c>
      <c r="O501" s="6">
        <f>Table1[[#This Row],[Profit]]/Table1[[#This Row],[Sales_Amount]]</f>
        <v>0.4779517625231911</v>
      </c>
      <c r="P501" t="s">
        <v>60</v>
      </c>
    </row>
    <row r="502" spans="1:16" x14ac:dyDescent="0.35">
      <c r="A502" t="s">
        <v>1342</v>
      </c>
      <c r="B502" t="s">
        <v>1238</v>
      </c>
      <c r="C502" t="str">
        <f>TEXT(Table1[[#This Row],[Order_Date]],"mmm")</f>
        <v>Jan</v>
      </c>
      <c r="D502">
        <f>YEAR(Table1[[#This Row],[Order_Date]])</f>
        <v>2025</v>
      </c>
      <c r="E502" t="s">
        <v>111</v>
      </c>
      <c r="F502" t="s">
        <v>169</v>
      </c>
      <c r="G502" t="s">
        <v>48</v>
      </c>
      <c r="H502" t="s">
        <v>1343</v>
      </c>
      <c r="I502" t="s">
        <v>125</v>
      </c>
      <c r="J502" t="s">
        <v>83</v>
      </c>
      <c r="K502">
        <v>24</v>
      </c>
      <c r="L502">
        <v>45639</v>
      </c>
      <c r="M502">
        <v>27374</v>
      </c>
      <c r="N502">
        <v>18265</v>
      </c>
      <c r="O502" s="6">
        <f>Table1[[#This Row],[Profit]]/Table1[[#This Row],[Sales_Amount]]</f>
        <v>0.40020596419728743</v>
      </c>
      <c r="P502" t="s">
        <v>121</v>
      </c>
    </row>
    <row r="503" spans="1:16" x14ac:dyDescent="0.35">
      <c r="A503" t="s">
        <v>1344</v>
      </c>
      <c r="B503" t="s">
        <v>588</v>
      </c>
      <c r="C503" t="str">
        <f>TEXT(Table1[[#This Row],[Order_Date]],"mmm")</f>
        <v>Nov</v>
      </c>
      <c r="D503">
        <f>YEAR(Table1[[#This Row],[Order_Date]])</f>
        <v>2025</v>
      </c>
      <c r="E503" t="s">
        <v>55</v>
      </c>
      <c r="F503" t="s">
        <v>56</v>
      </c>
      <c r="G503" t="s">
        <v>116</v>
      </c>
      <c r="H503" t="s">
        <v>1345</v>
      </c>
      <c r="I503" t="s">
        <v>50</v>
      </c>
      <c r="J503" t="s">
        <v>51</v>
      </c>
      <c r="K503">
        <v>13</v>
      </c>
      <c r="L503">
        <v>110972</v>
      </c>
      <c r="M503">
        <v>83832</v>
      </c>
      <c r="N503">
        <v>27140</v>
      </c>
      <c r="O503" s="6">
        <f>Table1[[#This Row],[Profit]]/Table1[[#This Row],[Sales_Amount]]</f>
        <v>0.24456619687849188</v>
      </c>
      <c r="P503" t="s">
        <v>121</v>
      </c>
    </row>
    <row r="504" spans="1:16" x14ac:dyDescent="0.35">
      <c r="A504" t="s">
        <v>1346</v>
      </c>
      <c r="B504" t="s">
        <v>1347</v>
      </c>
      <c r="C504" t="str">
        <f>TEXT(Table1[[#This Row],[Order_Date]],"mmm")</f>
        <v>Oct</v>
      </c>
      <c r="D504">
        <f>YEAR(Table1[[#This Row],[Order_Date]])</f>
        <v>2025</v>
      </c>
      <c r="E504" t="s">
        <v>63</v>
      </c>
      <c r="F504" t="s">
        <v>104</v>
      </c>
      <c r="G504" t="s">
        <v>65</v>
      </c>
      <c r="H504" t="s">
        <v>1348</v>
      </c>
      <c r="I504" t="s">
        <v>82</v>
      </c>
      <c r="J504" t="s">
        <v>83</v>
      </c>
      <c r="K504">
        <v>14</v>
      </c>
      <c r="L504">
        <v>81548</v>
      </c>
      <c r="M504">
        <v>63853</v>
      </c>
      <c r="N504">
        <v>17695</v>
      </c>
      <c r="O504" s="6">
        <f>Table1[[#This Row],[Profit]]/Table1[[#This Row],[Sales_Amount]]</f>
        <v>0.21698876735174377</v>
      </c>
      <c r="P504" t="s">
        <v>98</v>
      </c>
    </row>
    <row r="505" spans="1:16" x14ac:dyDescent="0.35">
      <c r="A505" t="s">
        <v>1349</v>
      </c>
      <c r="B505" t="s">
        <v>1350</v>
      </c>
      <c r="C505" t="str">
        <f>TEXT(Table1[[#This Row],[Order_Date]],"mmm")</f>
        <v>Jun</v>
      </c>
      <c r="D505">
        <f>YEAR(Table1[[#This Row],[Order_Date]])</f>
        <v>2025</v>
      </c>
      <c r="E505" t="s">
        <v>46</v>
      </c>
      <c r="F505" t="s">
        <v>74</v>
      </c>
      <c r="G505" t="s">
        <v>57</v>
      </c>
      <c r="H505" t="s">
        <v>1351</v>
      </c>
      <c r="I505" t="s">
        <v>125</v>
      </c>
      <c r="J505" t="s">
        <v>83</v>
      </c>
      <c r="K505">
        <v>15</v>
      </c>
      <c r="L505">
        <v>93597</v>
      </c>
      <c r="M505">
        <v>52661</v>
      </c>
      <c r="N505">
        <v>40936</v>
      </c>
      <c r="O505" s="6">
        <f>Table1[[#This Row],[Profit]]/Table1[[#This Row],[Sales_Amount]]</f>
        <v>0.43736444544162739</v>
      </c>
      <c r="P505" t="s">
        <v>52</v>
      </c>
    </row>
    <row r="506" spans="1:16" x14ac:dyDescent="0.35">
      <c r="A506" t="s">
        <v>1352</v>
      </c>
      <c r="B506" t="s">
        <v>79</v>
      </c>
      <c r="C506" t="str">
        <f>TEXT(Table1[[#This Row],[Order_Date]],"mmm")</f>
        <v>May</v>
      </c>
      <c r="D506">
        <f>YEAR(Table1[[#This Row],[Order_Date]])</f>
        <v>2025</v>
      </c>
      <c r="E506" t="s">
        <v>111</v>
      </c>
      <c r="F506" t="s">
        <v>169</v>
      </c>
      <c r="G506" t="s">
        <v>128</v>
      </c>
      <c r="H506" t="s">
        <v>1353</v>
      </c>
      <c r="I506" t="s">
        <v>82</v>
      </c>
      <c r="J506" t="s">
        <v>83</v>
      </c>
      <c r="K506">
        <v>25</v>
      </c>
      <c r="L506">
        <v>45724</v>
      </c>
      <c r="M506">
        <v>32485</v>
      </c>
      <c r="N506">
        <v>13239</v>
      </c>
      <c r="O506" s="6">
        <f>Table1[[#This Row],[Profit]]/Table1[[#This Row],[Sales_Amount]]</f>
        <v>0.28954159741055024</v>
      </c>
      <c r="P506" t="s">
        <v>60</v>
      </c>
    </row>
    <row r="507" spans="1:16" x14ac:dyDescent="0.35">
      <c r="A507" t="s">
        <v>1354</v>
      </c>
      <c r="B507" t="s">
        <v>1307</v>
      </c>
      <c r="C507" t="str">
        <f>TEXT(Table1[[#This Row],[Order_Date]],"mmm")</f>
        <v>Sep</v>
      </c>
      <c r="D507">
        <f>YEAR(Table1[[#This Row],[Order_Date]])</f>
        <v>2025</v>
      </c>
      <c r="E507" t="s">
        <v>55</v>
      </c>
      <c r="F507" t="s">
        <v>56</v>
      </c>
      <c r="G507" t="s">
        <v>70</v>
      </c>
      <c r="H507" t="s">
        <v>1355</v>
      </c>
      <c r="I507" t="s">
        <v>125</v>
      </c>
      <c r="J507" t="s">
        <v>83</v>
      </c>
      <c r="K507">
        <v>16</v>
      </c>
      <c r="L507">
        <v>27984</v>
      </c>
      <c r="M507">
        <v>22482</v>
      </c>
      <c r="N507">
        <v>5502</v>
      </c>
      <c r="O507" s="6">
        <f>Table1[[#This Row],[Profit]]/Table1[[#This Row],[Sales_Amount]]</f>
        <v>0.19661234991423671</v>
      </c>
      <c r="P507" t="s">
        <v>60</v>
      </c>
    </row>
    <row r="508" spans="1:16" x14ac:dyDescent="0.35">
      <c r="A508" t="s">
        <v>1356</v>
      </c>
      <c r="B508" t="s">
        <v>1357</v>
      </c>
      <c r="C508" t="str">
        <f>TEXT(Table1[[#This Row],[Order_Date]],"mmm")</f>
        <v>Oct</v>
      </c>
      <c r="D508">
        <f>YEAR(Table1[[#This Row],[Order_Date]])</f>
        <v>2025</v>
      </c>
      <c r="E508" t="s">
        <v>55</v>
      </c>
      <c r="F508" t="s">
        <v>56</v>
      </c>
      <c r="G508" t="s">
        <v>80</v>
      </c>
      <c r="H508" t="s">
        <v>1358</v>
      </c>
      <c r="I508" t="s">
        <v>67</v>
      </c>
      <c r="J508" t="s">
        <v>51</v>
      </c>
      <c r="K508">
        <v>7</v>
      </c>
      <c r="L508">
        <v>104025</v>
      </c>
      <c r="M508">
        <v>62937</v>
      </c>
      <c r="N508">
        <v>41088</v>
      </c>
      <c r="O508" s="6">
        <f>Table1[[#This Row],[Profit]]/Table1[[#This Row],[Sales_Amount]]</f>
        <v>0.39498197548666186</v>
      </c>
      <c r="P508" t="s">
        <v>60</v>
      </c>
    </row>
    <row r="509" spans="1:16" x14ac:dyDescent="0.35">
      <c r="A509" t="s">
        <v>1359</v>
      </c>
      <c r="B509" t="s">
        <v>1181</v>
      </c>
      <c r="C509" t="str">
        <f>TEXT(Table1[[#This Row],[Order_Date]],"mmm")</f>
        <v>Mar</v>
      </c>
      <c r="D509">
        <f>YEAR(Table1[[#This Row],[Order_Date]])</f>
        <v>2025</v>
      </c>
      <c r="E509" t="s">
        <v>55</v>
      </c>
      <c r="F509" t="s">
        <v>56</v>
      </c>
      <c r="G509" t="s">
        <v>57</v>
      </c>
      <c r="H509" t="s">
        <v>1360</v>
      </c>
      <c r="I509" t="s">
        <v>82</v>
      </c>
      <c r="J509" t="s">
        <v>83</v>
      </c>
      <c r="K509">
        <v>12</v>
      </c>
      <c r="L509">
        <v>66055</v>
      </c>
      <c r="M509">
        <v>33919</v>
      </c>
      <c r="N509">
        <v>32136</v>
      </c>
      <c r="O509" s="6">
        <f>Table1[[#This Row],[Profit]]/Table1[[#This Row],[Sales_Amount]]</f>
        <v>0.486503671183105</v>
      </c>
      <c r="P509" t="s">
        <v>52</v>
      </c>
    </row>
    <row r="510" spans="1:16" x14ac:dyDescent="0.35">
      <c r="A510" t="s">
        <v>1361</v>
      </c>
      <c r="B510" t="s">
        <v>849</v>
      </c>
      <c r="C510" t="str">
        <f>TEXT(Table1[[#This Row],[Order_Date]],"mmm")</f>
        <v>Apr</v>
      </c>
      <c r="D510">
        <f>YEAR(Table1[[#This Row],[Order_Date]])</f>
        <v>2025</v>
      </c>
      <c r="E510" t="s">
        <v>63</v>
      </c>
      <c r="F510" t="s">
        <v>64</v>
      </c>
      <c r="G510" t="s">
        <v>48</v>
      </c>
      <c r="H510" t="s">
        <v>1362</v>
      </c>
      <c r="I510" t="s">
        <v>82</v>
      </c>
      <c r="J510" t="s">
        <v>83</v>
      </c>
      <c r="K510">
        <v>18</v>
      </c>
      <c r="L510">
        <v>96714</v>
      </c>
      <c r="M510">
        <v>48251</v>
      </c>
      <c r="N510">
        <v>48463</v>
      </c>
      <c r="O510" s="6">
        <f>Table1[[#This Row],[Profit]]/Table1[[#This Row],[Sales_Amount]]</f>
        <v>0.50109601505469736</v>
      </c>
      <c r="P510" t="s">
        <v>52</v>
      </c>
    </row>
    <row r="511" spans="1:16" x14ac:dyDescent="0.35">
      <c r="A511" t="s">
        <v>1363</v>
      </c>
      <c r="B511" t="s">
        <v>1364</v>
      </c>
      <c r="C511" t="str">
        <f>TEXT(Table1[[#This Row],[Order_Date]],"mmm")</f>
        <v>Dec</v>
      </c>
      <c r="D511">
        <f>YEAR(Table1[[#This Row],[Order_Date]])</f>
        <v>2025</v>
      </c>
      <c r="E511" t="s">
        <v>46</v>
      </c>
      <c r="F511" t="s">
        <v>47</v>
      </c>
      <c r="G511" t="s">
        <v>70</v>
      </c>
      <c r="H511" t="s">
        <v>1365</v>
      </c>
      <c r="I511" t="s">
        <v>50</v>
      </c>
      <c r="J511" t="s">
        <v>51</v>
      </c>
      <c r="K511">
        <v>14</v>
      </c>
      <c r="L511">
        <v>113896</v>
      </c>
      <c r="M511">
        <v>88927</v>
      </c>
      <c r="N511">
        <v>24969</v>
      </c>
      <c r="O511" s="6">
        <f>Table1[[#This Row],[Profit]]/Table1[[#This Row],[Sales_Amount]]</f>
        <v>0.21922631172297535</v>
      </c>
      <c r="P511" t="s">
        <v>98</v>
      </c>
    </row>
    <row r="512" spans="1:16" x14ac:dyDescent="0.35">
      <c r="A512" t="s">
        <v>1366</v>
      </c>
      <c r="B512" t="s">
        <v>634</v>
      </c>
      <c r="C512" t="str">
        <f>TEXT(Table1[[#This Row],[Order_Date]],"mmm")</f>
        <v>Jan</v>
      </c>
      <c r="D512">
        <f>YEAR(Table1[[#This Row],[Order_Date]])</f>
        <v>2025</v>
      </c>
      <c r="E512" t="s">
        <v>111</v>
      </c>
      <c r="F512" t="s">
        <v>112</v>
      </c>
      <c r="G512" t="s">
        <v>128</v>
      </c>
      <c r="H512" t="s">
        <v>1367</v>
      </c>
      <c r="I512" t="s">
        <v>125</v>
      </c>
      <c r="J512" t="s">
        <v>83</v>
      </c>
      <c r="K512">
        <v>12</v>
      </c>
      <c r="L512">
        <v>45973</v>
      </c>
      <c r="M512">
        <v>23831</v>
      </c>
      <c r="N512">
        <v>22142</v>
      </c>
      <c r="O512" s="6">
        <f>Table1[[#This Row],[Profit]]/Table1[[#This Row],[Sales_Amount]]</f>
        <v>0.48163052226306746</v>
      </c>
      <c r="P512" t="s">
        <v>98</v>
      </c>
    </row>
    <row r="513" spans="1:16" x14ac:dyDescent="0.35">
      <c r="A513" t="s">
        <v>1368</v>
      </c>
      <c r="B513" t="s">
        <v>731</v>
      </c>
      <c r="C513" t="str">
        <f>TEXT(Table1[[#This Row],[Order_Date]],"mmm")</f>
        <v>Aug</v>
      </c>
      <c r="D513">
        <f>YEAR(Table1[[#This Row],[Order_Date]])</f>
        <v>2025</v>
      </c>
      <c r="E513" t="s">
        <v>46</v>
      </c>
      <c r="F513" t="s">
        <v>74</v>
      </c>
      <c r="G513" t="s">
        <v>128</v>
      </c>
      <c r="H513" t="s">
        <v>1369</v>
      </c>
      <c r="I513" t="s">
        <v>82</v>
      </c>
      <c r="J513" t="s">
        <v>83</v>
      </c>
      <c r="K513">
        <v>16</v>
      </c>
      <c r="L513">
        <v>89017</v>
      </c>
      <c r="M513">
        <v>52550</v>
      </c>
      <c r="N513">
        <v>36467</v>
      </c>
      <c r="O513" s="6">
        <f>Table1[[#This Row],[Profit]]/Table1[[#This Row],[Sales_Amount]]</f>
        <v>0.40966332273610656</v>
      </c>
      <c r="P513" t="s">
        <v>52</v>
      </c>
    </row>
    <row r="514" spans="1:16" x14ac:dyDescent="0.35">
      <c r="A514" t="s">
        <v>1370</v>
      </c>
      <c r="B514" t="s">
        <v>534</v>
      </c>
      <c r="C514" t="str">
        <f>TEXT(Table1[[#This Row],[Order_Date]],"mmm")</f>
        <v>Jul</v>
      </c>
      <c r="D514">
        <f>YEAR(Table1[[#This Row],[Order_Date]])</f>
        <v>2025</v>
      </c>
      <c r="E514" t="s">
        <v>46</v>
      </c>
      <c r="F514" t="s">
        <v>47</v>
      </c>
      <c r="G514" t="s">
        <v>80</v>
      </c>
      <c r="H514" t="s">
        <v>1371</v>
      </c>
      <c r="I514" t="s">
        <v>50</v>
      </c>
      <c r="J514" t="s">
        <v>51</v>
      </c>
      <c r="K514">
        <v>6</v>
      </c>
      <c r="L514">
        <v>89222</v>
      </c>
      <c r="M514">
        <v>55812</v>
      </c>
      <c r="N514">
        <v>33410</v>
      </c>
      <c r="O514" s="6">
        <f>Table1[[#This Row],[Profit]]/Table1[[#This Row],[Sales_Amount]]</f>
        <v>0.37445921409517829</v>
      </c>
      <c r="P514" t="s">
        <v>52</v>
      </c>
    </row>
    <row r="515" spans="1:16" x14ac:dyDescent="0.35">
      <c r="A515" t="s">
        <v>1372</v>
      </c>
      <c r="B515" t="s">
        <v>1373</v>
      </c>
      <c r="C515" t="str">
        <f>TEXT(Table1[[#This Row],[Order_Date]],"mmm")</f>
        <v>Dec</v>
      </c>
      <c r="D515">
        <f>YEAR(Table1[[#This Row],[Order_Date]])</f>
        <v>2025</v>
      </c>
      <c r="E515" t="s">
        <v>63</v>
      </c>
      <c r="F515" t="s">
        <v>104</v>
      </c>
      <c r="G515" t="s">
        <v>57</v>
      </c>
      <c r="H515" t="s">
        <v>1374</v>
      </c>
      <c r="I515" t="s">
        <v>76</v>
      </c>
      <c r="J515" t="s">
        <v>77</v>
      </c>
      <c r="K515">
        <v>13</v>
      </c>
      <c r="L515">
        <v>53644</v>
      </c>
      <c r="M515">
        <v>29265</v>
      </c>
      <c r="N515">
        <v>24379</v>
      </c>
      <c r="O515" s="6">
        <f>Table1[[#This Row],[Profit]]/Table1[[#This Row],[Sales_Amount]]</f>
        <v>0.45445902617254491</v>
      </c>
      <c r="P515" t="s">
        <v>60</v>
      </c>
    </row>
    <row r="516" spans="1:16" x14ac:dyDescent="0.35">
      <c r="A516" t="s">
        <v>1375</v>
      </c>
      <c r="B516" t="s">
        <v>912</v>
      </c>
      <c r="C516" t="str">
        <f>TEXT(Table1[[#This Row],[Order_Date]],"mmm")</f>
        <v>Jul</v>
      </c>
      <c r="D516">
        <f>YEAR(Table1[[#This Row],[Order_Date]])</f>
        <v>2025</v>
      </c>
      <c r="E516" t="s">
        <v>63</v>
      </c>
      <c r="F516" t="s">
        <v>104</v>
      </c>
      <c r="G516" t="s">
        <v>57</v>
      </c>
      <c r="H516" t="s">
        <v>1376</v>
      </c>
      <c r="I516" t="s">
        <v>125</v>
      </c>
      <c r="J516" t="s">
        <v>83</v>
      </c>
      <c r="K516">
        <v>8</v>
      </c>
      <c r="L516">
        <v>24207</v>
      </c>
      <c r="M516">
        <v>19008</v>
      </c>
      <c r="N516">
        <v>5199</v>
      </c>
      <c r="O516" s="6">
        <f>Table1[[#This Row],[Profit]]/Table1[[#This Row],[Sales_Amount]]</f>
        <v>0.21477258644193828</v>
      </c>
      <c r="P516" t="s">
        <v>52</v>
      </c>
    </row>
    <row r="517" spans="1:16" x14ac:dyDescent="0.35">
      <c r="A517" t="s">
        <v>1377</v>
      </c>
      <c r="B517" t="s">
        <v>1378</v>
      </c>
      <c r="C517" t="str">
        <f>TEXT(Table1[[#This Row],[Order_Date]],"mmm")</f>
        <v>Dec</v>
      </c>
      <c r="D517">
        <f>YEAR(Table1[[#This Row],[Order_Date]])</f>
        <v>2025</v>
      </c>
      <c r="E517" t="s">
        <v>111</v>
      </c>
      <c r="F517" t="s">
        <v>169</v>
      </c>
      <c r="G517" t="s">
        <v>116</v>
      </c>
      <c r="H517" t="s">
        <v>1379</v>
      </c>
      <c r="I517" t="s">
        <v>76</v>
      </c>
      <c r="J517" t="s">
        <v>77</v>
      </c>
      <c r="K517">
        <v>16</v>
      </c>
      <c r="L517">
        <v>62928</v>
      </c>
      <c r="M517">
        <v>39462</v>
      </c>
      <c r="N517">
        <v>23466</v>
      </c>
      <c r="O517" s="6">
        <f>Table1[[#This Row],[Profit]]/Table1[[#This Row],[Sales_Amount]]</f>
        <v>0.37290236460717008</v>
      </c>
      <c r="P517" t="s">
        <v>52</v>
      </c>
    </row>
    <row r="518" spans="1:16" x14ac:dyDescent="0.35">
      <c r="A518" t="s">
        <v>1380</v>
      </c>
      <c r="B518" t="s">
        <v>371</v>
      </c>
      <c r="C518" t="str">
        <f>TEXT(Table1[[#This Row],[Order_Date]],"mmm")</f>
        <v>Aug</v>
      </c>
      <c r="D518">
        <f>YEAR(Table1[[#This Row],[Order_Date]])</f>
        <v>2025</v>
      </c>
      <c r="E518" t="s">
        <v>111</v>
      </c>
      <c r="F518" t="s">
        <v>169</v>
      </c>
      <c r="G518" t="s">
        <v>48</v>
      </c>
      <c r="H518" t="s">
        <v>1381</v>
      </c>
      <c r="I518" t="s">
        <v>50</v>
      </c>
      <c r="J518" t="s">
        <v>51</v>
      </c>
      <c r="K518">
        <v>8</v>
      </c>
      <c r="L518">
        <v>70540</v>
      </c>
      <c r="M518">
        <v>57438</v>
      </c>
      <c r="N518">
        <v>13102</v>
      </c>
      <c r="O518" s="6">
        <f>Table1[[#This Row],[Profit]]/Table1[[#This Row],[Sales_Amount]]</f>
        <v>0.18573858803515736</v>
      </c>
      <c r="P518" t="s">
        <v>60</v>
      </c>
    </row>
    <row r="519" spans="1:16" x14ac:dyDescent="0.35">
      <c r="A519" t="s">
        <v>1382</v>
      </c>
      <c r="B519" t="s">
        <v>910</v>
      </c>
      <c r="C519" t="str">
        <f>TEXT(Table1[[#This Row],[Order_Date]],"mmm")</f>
        <v>May</v>
      </c>
      <c r="D519">
        <f>YEAR(Table1[[#This Row],[Order_Date]])</f>
        <v>2025</v>
      </c>
      <c r="E519" t="s">
        <v>111</v>
      </c>
      <c r="F519" t="s">
        <v>169</v>
      </c>
      <c r="G519" t="s">
        <v>70</v>
      </c>
      <c r="H519" t="s">
        <v>1383</v>
      </c>
      <c r="I519" t="s">
        <v>156</v>
      </c>
      <c r="J519" t="s">
        <v>157</v>
      </c>
      <c r="K519">
        <v>11</v>
      </c>
      <c r="L519">
        <v>118092</v>
      </c>
      <c r="M519">
        <v>56794</v>
      </c>
      <c r="N519">
        <v>61298</v>
      </c>
      <c r="O519" s="6">
        <f>Table1[[#This Row],[Profit]]/Table1[[#This Row],[Sales_Amount]]</f>
        <v>0.51906987772245372</v>
      </c>
      <c r="P519" t="s">
        <v>98</v>
      </c>
    </row>
    <row r="520" spans="1:16" x14ac:dyDescent="0.35">
      <c r="A520" t="s">
        <v>1384</v>
      </c>
      <c r="B520" t="s">
        <v>1385</v>
      </c>
      <c r="C520" t="str">
        <f>TEXT(Table1[[#This Row],[Order_Date]],"mmm")</f>
        <v>Aug</v>
      </c>
      <c r="D520">
        <f>YEAR(Table1[[#This Row],[Order_Date]])</f>
        <v>2025</v>
      </c>
      <c r="E520" t="s">
        <v>111</v>
      </c>
      <c r="F520" t="s">
        <v>112</v>
      </c>
      <c r="G520" t="s">
        <v>70</v>
      </c>
      <c r="H520" t="s">
        <v>1386</v>
      </c>
      <c r="I520" t="s">
        <v>59</v>
      </c>
      <c r="J520" t="s">
        <v>51</v>
      </c>
      <c r="K520">
        <v>9</v>
      </c>
      <c r="L520">
        <v>109057</v>
      </c>
      <c r="M520">
        <v>74979</v>
      </c>
      <c r="N520">
        <v>34078</v>
      </c>
      <c r="O520" s="6">
        <f>Table1[[#This Row],[Profit]]/Table1[[#This Row],[Sales_Amount]]</f>
        <v>0.31247879549226554</v>
      </c>
      <c r="P520" t="s">
        <v>121</v>
      </c>
    </row>
    <row r="521" spans="1:16" x14ac:dyDescent="0.35">
      <c r="A521" t="s">
        <v>1387</v>
      </c>
      <c r="B521" t="s">
        <v>1114</v>
      </c>
      <c r="C521" t="str">
        <f>TEXT(Table1[[#This Row],[Order_Date]],"mmm")</f>
        <v>Aug</v>
      </c>
      <c r="D521">
        <f>YEAR(Table1[[#This Row],[Order_Date]])</f>
        <v>2025</v>
      </c>
      <c r="E521" t="s">
        <v>46</v>
      </c>
      <c r="F521" t="s">
        <v>47</v>
      </c>
      <c r="G521" t="s">
        <v>138</v>
      </c>
      <c r="H521" t="s">
        <v>1388</v>
      </c>
      <c r="I521" t="s">
        <v>50</v>
      </c>
      <c r="J521" t="s">
        <v>51</v>
      </c>
      <c r="K521">
        <v>16</v>
      </c>
      <c r="L521">
        <v>111688</v>
      </c>
      <c r="M521">
        <v>64843</v>
      </c>
      <c r="N521">
        <v>46845</v>
      </c>
      <c r="O521" s="6">
        <f>Table1[[#This Row],[Profit]]/Table1[[#This Row],[Sales_Amount]]</f>
        <v>0.41942733328558124</v>
      </c>
      <c r="P521" t="s">
        <v>98</v>
      </c>
    </row>
    <row r="522" spans="1:16" x14ac:dyDescent="0.35">
      <c r="A522" t="s">
        <v>1389</v>
      </c>
      <c r="B522" t="s">
        <v>1072</v>
      </c>
      <c r="C522" t="str">
        <f>TEXT(Table1[[#This Row],[Order_Date]],"mmm")</f>
        <v>Sep</v>
      </c>
      <c r="D522">
        <f>YEAR(Table1[[#This Row],[Order_Date]])</f>
        <v>2025</v>
      </c>
      <c r="E522" t="s">
        <v>46</v>
      </c>
      <c r="F522" t="s">
        <v>74</v>
      </c>
      <c r="G522" t="s">
        <v>70</v>
      </c>
      <c r="H522" t="s">
        <v>1390</v>
      </c>
      <c r="I522" t="s">
        <v>50</v>
      </c>
      <c r="J522" t="s">
        <v>51</v>
      </c>
      <c r="K522">
        <v>19</v>
      </c>
      <c r="L522">
        <v>63470</v>
      </c>
      <c r="M522">
        <v>51594</v>
      </c>
      <c r="N522">
        <v>11876</v>
      </c>
      <c r="O522" s="6">
        <f>Table1[[#This Row],[Profit]]/Table1[[#This Row],[Sales_Amount]]</f>
        <v>0.18711202142744604</v>
      </c>
      <c r="P522" t="s">
        <v>52</v>
      </c>
    </row>
    <row r="523" spans="1:16" x14ac:dyDescent="0.35">
      <c r="A523" t="s">
        <v>1391</v>
      </c>
      <c r="B523" t="s">
        <v>396</v>
      </c>
      <c r="C523" t="str">
        <f>TEXT(Table1[[#This Row],[Order_Date]],"mmm")</f>
        <v>Feb</v>
      </c>
      <c r="D523">
        <f>YEAR(Table1[[#This Row],[Order_Date]])</f>
        <v>2025</v>
      </c>
      <c r="E523" t="s">
        <v>46</v>
      </c>
      <c r="F523" t="s">
        <v>74</v>
      </c>
      <c r="G523" t="s">
        <v>48</v>
      </c>
      <c r="H523" t="s">
        <v>1392</v>
      </c>
      <c r="I523" t="s">
        <v>59</v>
      </c>
      <c r="J523" t="s">
        <v>51</v>
      </c>
      <c r="K523">
        <v>20</v>
      </c>
      <c r="L523">
        <v>77607</v>
      </c>
      <c r="M523">
        <v>64405</v>
      </c>
      <c r="N523">
        <v>13202</v>
      </c>
      <c r="O523" s="6">
        <f>Table1[[#This Row],[Profit]]/Table1[[#This Row],[Sales_Amount]]</f>
        <v>0.17011352068756685</v>
      </c>
      <c r="P523" t="s">
        <v>121</v>
      </c>
    </row>
    <row r="524" spans="1:16" x14ac:dyDescent="0.35">
      <c r="A524" t="s">
        <v>1393</v>
      </c>
      <c r="B524" t="s">
        <v>179</v>
      </c>
      <c r="C524" t="str">
        <f>TEXT(Table1[[#This Row],[Order_Date]],"mmm")</f>
        <v>May</v>
      </c>
      <c r="D524">
        <f>YEAR(Table1[[#This Row],[Order_Date]])</f>
        <v>2025</v>
      </c>
      <c r="E524" t="s">
        <v>46</v>
      </c>
      <c r="F524" t="s">
        <v>47</v>
      </c>
      <c r="G524" t="s">
        <v>80</v>
      </c>
      <c r="H524" t="s">
        <v>1394</v>
      </c>
      <c r="I524" t="s">
        <v>143</v>
      </c>
      <c r="J524" t="s">
        <v>51</v>
      </c>
      <c r="K524">
        <v>18</v>
      </c>
      <c r="L524">
        <v>31822</v>
      </c>
      <c r="M524">
        <v>21936</v>
      </c>
      <c r="N524">
        <v>9886</v>
      </c>
      <c r="O524" s="6">
        <f>Table1[[#This Row],[Profit]]/Table1[[#This Row],[Sales_Amount]]</f>
        <v>0.31066557727358429</v>
      </c>
      <c r="P524" t="s">
        <v>52</v>
      </c>
    </row>
    <row r="525" spans="1:16" x14ac:dyDescent="0.35">
      <c r="A525" t="s">
        <v>1395</v>
      </c>
      <c r="B525" t="s">
        <v>217</v>
      </c>
      <c r="C525" t="str">
        <f>TEXT(Table1[[#This Row],[Order_Date]],"mmm")</f>
        <v>Aug</v>
      </c>
      <c r="D525">
        <f>YEAR(Table1[[#This Row],[Order_Date]])</f>
        <v>2025</v>
      </c>
      <c r="E525" t="s">
        <v>46</v>
      </c>
      <c r="F525" t="s">
        <v>74</v>
      </c>
      <c r="G525" t="s">
        <v>116</v>
      </c>
      <c r="H525" t="s">
        <v>1396</v>
      </c>
      <c r="I525" t="s">
        <v>156</v>
      </c>
      <c r="J525" t="s">
        <v>157</v>
      </c>
      <c r="K525">
        <v>5</v>
      </c>
      <c r="L525">
        <v>19347</v>
      </c>
      <c r="M525">
        <v>8808</v>
      </c>
      <c r="N525">
        <v>10539</v>
      </c>
      <c r="O525" s="6">
        <f>Table1[[#This Row],[Profit]]/Table1[[#This Row],[Sales_Amount]]</f>
        <v>0.54473561792525971</v>
      </c>
      <c r="P525" t="s">
        <v>98</v>
      </c>
    </row>
    <row r="526" spans="1:16" x14ac:dyDescent="0.35">
      <c r="A526" t="s">
        <v>1397</v>
      </c>
      <c r="B526" t="s">
        <v>200</v>
      </c>
      <c r="C526" t="str">
        <f>TEXT(Table1[[#This Row],[Order_Date]],"mmm")</f>
        <v>Nov</v>
      </c>
      <c r="D526">
        <f>YEAR(Table1[[#This Row],[Order_Date]])</f>
        <v>2025</v>
      </c>
      <c r="E526" t="s">
        <v>55</v>
      </c>
      <c r="F526" t="s">
        <v>56</v>
      </c>
      <c r="G526" t="s">
        <v>138</v>
      </c>
      <c r="H526" t="s">
        <v>1398</v>
      </c>
      <c r="I526" t="s">
        <v>50</v>
      </c>
      <c r="J526" t="s">
        <v>51</v>
      </c>
      <c r="K526">
        <v>17</v>
      </c>
      <c r="L526">
        <v>70958</v>
      </c>
      <c r="M526">
        <v>55456</v>
      </c>
      <c r="N526">
        <v>15502</v>
      </c>
      <c r="O526" s="6">
        <f>Table1[[#This Row],[Profit]]/Table1[[#This Row],[Sales_Amount]]</f>
        <v>0.21846726232419178</v>
      </c>
      <c r="P526" t="s">
        <v>98</v>
      </c>
    </row>
    <row r="527" spans="1:16" x14ac:dyDescent="0.35">
      <c r="A527" t="s">
        <v>1399</v>
      </c>
      <c r="B527" t="s">
        <v>141</v>
      </c>
      <c r="C527" t="str">
        <f>TEXT(Table1[[#This Row],[Order_Date]],"mmm")</f>
        <v>Sep</v>
      </c>
      <c r="D527">
        <f>YEAR(Table1[[#This Row],[Order_Date]])</f>
        <v>2025</v>
      </c>
      <c r="E527" t="s">
        <v>46</v>
      </c>
      <c r="F527" t="s">
        <v>47</v>
      </c>
      <c r="G527" t="s">
        <v>80</v>
      </c>
      <c r="H527" t="s">
        <v>1400</v>
      </c>
      <c r="I527" t="s">
        <v>82</v>
      </c>
      <c r="J527" t="s">
        <v>83</v>
      </c>
      <c r="K527">
        <v>15</v>
      </c>
      <c r="L527">
        <v>6194</v>
      </c>
      <c r="M527">
        <v>4703</v>
      </c>
      <c r="N527">
        <v>1491</v>
      </c>
      <c r="O527" s="6">
        <f>Table1[[#This Row],[Profit]]/Table1[[#This Row],[Sales_Amount]]</f>
        <v>0.24071682273167583</v>
      </c>
      <c r="P527" t="s">
        <v>121</v>
      </c>
    </row>
    <row r="528" spans="1:16" x14ac:dyDescent="0.35">
      <c r="A528" t="s">
        <v>1401</v>
      </c>
      <c r="B528" t="s">
        <v>137</v>
      </c>
      <c r="C528" t="str">
        <f>TEXT(Table1[[#This Row],[Order_Date]],"mmm")</f>
        <v>Jul</v>
      </c>
      <c r="D528">
        <f>YEAR(Table1[[#This Row],[Order_Date]])</f>
        <v>2025</v>
      </c>
      <c r="E528" t="s">
        <v>63</v>
      </c>
      <c r="F528" t="s">
        <v>64</v>
      </c>
      <c r="G528" t="s">
        <v>116</v>
      </c>
      <c r="H528" t="s">
        <v>1402</v>
      </c>
      <c r="I528" t="s">
        <v>76</v>
      </c>
      <c r="J528" t="s">
        <v>77</v>
      </c>
      <c r="K528">
        <v>2</v>
      </c>
      <c r="L528">
        <v>103589</v>
      </c>
      <c r="M528">
        <v>76022</v>
      </c>
      <c r="N528">
        <v>27567</v>
      </c>
      <c r="O528" s="6">
        <f>Table1[[#This Row],[Profit]]/Table1[[#This Row],[Sales_Amount]]</f>
        <v>0.26611898946799373</v>
      </c>
      <c r="P528" t="s">
        <v>52</v>
      </c>
    </row>
    <row r="529" spans="1:16" x14ac:dyDescent="0.35">
      <c r="A529" t="s">
        <v>1403</v>
      </c>
      <c r="B529" t="s">
        <v>154</v>
      </c>
      <c r="C529" t="str">
        <f>TEXT(Table1[[#This Row],[Order_Date]],"mmm")</f>
        <v>Dec</v>
      </c>
      <c r="D529">
        <f>YEAR(Table1[[#This Row],[Order_Date]])</f>
        <v>2025</v>
      </c>
      <c r="E529" t="s">
        <v>111</v>
      </c>
      <c r="F529" t="s">
        <v>169</v>
      </c>
      <c r="G529" t="s">
        <v>128</v>
      </c>
      <c r="H529" t="s">
        <v>108</v>
      </c>
      <c r="I529" t="s">
        <v>125</v>
      </c>
      <c r="J529" t="s">
        <v>83</v>
      </c>
      <c r="K529">
        <v>17</v>
      </c>
      <c r="L529">
        <v>52912</v>
      </c>
      <c r="M529">
        <v>39062</v>
      </c>
      <c r="N529">
        <v>13850</v>
      </c>
      <c r="O529" s="6">
        <f>Table1[[#This Row],[Profit]]/Table1[[#This Row],[Sales_Amount]]</f>
        <v>0.26175536740247957</v>
      </c>
      <c r="P529" t="s">
        <v>60</v>
      </c>
    </row>
    <row r="530" spans="1:16" x14ac:dyDescent="0.35">
      <c r="A530" t="s">
        <v>1404</v>
      </c>
      <c r="B530" t="s">
        <v>165</v>
      </c>
      <c r="C530" t="str">
        <f>TEXT(Table1[[#This Row],[Order_Date]],"mmm")</f>
        <v>Mar</v>
      </c>
      <c r="D530">
        <f>YEAR(Table1[[#This Row],[Order_Date]])</f>
        <v>2025</v>
      </c>
      <c r="E530" t="s">
        <v>111</v>
      </c>
      <c r="F530" t="s">
        <v>112</v>
      </c>
      <c r="G530" t="s">
        <v>80</v>
      </c>
      <c r="H530" t="s">
        <v>1405</v>
      </c>
      <c r="I530" t="s">
        <v>59</v>
      </c>
      <c r="J530" t="s">
        <v>51</v>
      </c>
      <c r="K530">
        <v>13</v>
      </c>
      <c r="L530">
        <v>107627</v>
      </c>
      <c r="M530">
        <v>50369</v>
      </c>
      <c r="N530">
        <v>57258</v>
      </c>
      <c r="O530" s="6">
        <f>Table1[[#This Row],[Profit]]/Table1[[#This Row],[Sales_Amount]]</f>
        <v>0.53200405102808779</v>
      </c>
      <c r="P530" t="s">
        <v>121</v>
      </c>
    </row>
    <row r="531" spans="1:16" x14ac:dyDescent="0.35">
      <c r="A531" t="s">
        <v>1406</v>
      </c>
      <c r="B531" t="s">
        <v>468</v>
      </c>
      <c r="C531" t="str">
        <f>TEXT(Table1[[#This Row],[Order_Date]],"mmm")</f>
        <v>Apr</v>
      </c>
      <c r="D531">
        <f>YEAR(Table1[[#This Row],[Order_Date]])</f>
        <v>2025</v>
      </c>
      <c r="E531" t="s">
        <v>63</v>
      </c>
      <c r="F531" t="s">
        <v>104</v>
      </c>
      <c r="G531" t="s">
        <v>70</v>
      </c>
      <c r="H531" t="s">
        <v>469</v>
      </c>
      <c r="I531" t="s">
        <v>156</v>
      </c>
      <c r="J531" t="s">
        <v>157</v>
      </c>
      <c r="K531">
        <v>6</v>
      </c>
      <c r="L531">
        <v>117537</v>
      </c>
      <c r="M531">
        <v>93383</v>
      </c>
      <c r="N531">
        <v>24154</v>
      </c>
      <c r="O531" s="6">
        <f>Table1[[#This Row],[Profit]]/Table1[[#This Row],[Sales_Amount]]</f>
        <v>0.20550124641602219</v>
      </c>
      <c r="P531" t="s">
        <v>52</v>
      </c>
    </row>
    <row r="532" spans="1:16" x14ac:dyDescent="0.35">
      <c r="A532" t="s">
        <v>1407</v>
      </c>
      <c r="B532" t="s">
        <v>1408</v>
      </c>
      <c r="C532" t="str">
        <f>TEXT(Table1[[#This Row],[Order_Date]],"mmm")</f>
        <v>Feb</v>
      </c>
      <c r="D532">
        <f>YEAR(Table1[[#This Row],[Order_Date]])</f>
        <v>2025</v>
      </c>
      <c r="E532" t="s">
        <v>46</v>
      </c>
      <c r="F532" t="s">
        <v>47</v>
      </c>
      <c r="G532" t="s">
        <v>80</v>
      </c>
      <c r="H532" t="s">
        <v>546</v>
      </c>
      <c r="I532" t="s">
        <v>143</v>
      </c>
      <c r="J532" t="s">
        <v>51</v>
      </c>
      <c r="K532">
        <v>21</v>
      </c>
      <c r="L532">
        <v>72198</v>
      </c>
      <c r="M532">
        <v>51639</v>
      </c>
      <c r="N532">
        <v>20559</v>
      </c>
      <c r="O532" s="6">
        <f>Table1[[#This Row],[Profit]]/Table1[[#This Row],[Sales_Amount]]</f>
        <v>0.2847585805700989</v>
      </c>
      <c r="P532" t="s">
        <v>60</v>
      </c>
    </row>
    <row r="533" spans="1:16" x14ac:dyDescent="0.35">
      <c r="A533" t="s">
        <v>1409</v>
      </c>
      <c r="B533" t="s">
        <v>537</v>
      </c>
      <c r="C533" t="str">
        <f>TEXT(Table1[[#This Row],[Order_Date]],"mmm")</f>
        <v>Oct</v>
      </c>
      <c r="D533">
        <f>YEAR(Table1[[#This Row],[Order_Date]])</f>
        <v>2025</v>
      </c>
      <c r="E533" t="s">
        <v>55</v>
      </c>
      <c r="F533" t="s">
        <v>188</v>
      </c>
      <c r="G533" t="s">
        <v>138</v>
      </c>
      <c r="H533" t="s">
        <v>1410</v>
      </c>
      <c r="I533" t="s">
        <v>59</v>
      </c>
      <c r="J533" t="s">
        <v>51</v>
      </c>
      <c r="K533">
        <v>17</v>
      </c>
      <c r="L533">
        <v>79815</v>
      </c>
      <c r="M533">
        <v>56211</v>
      </c>
      <c r="N533">
        <v>23604</v>
      </c>
      <c r="O533" s="6">
        <f>Table1[[#This Row],[Profit]]/Table1[[#This Row],[Sales_Amount]]</f>
        <v>0.29573388460815636</v>
      </c>
      <c r="P533" t="s">
        <v>60</v>
      </c>
    </row>
    <row r="534" spans="1:16" x14ac:dyDescent="0.35">
      <c r="A534" t="s">
        <v>1411</v>
      </c>
      <c r="B534" t="s">
        <v>1412</v>
      </c>
      <c r="C534" t="str">
        <f>TEXT(Table1[[#This Row],[Order_Date]],"mmm")</f>
        <v>Sep</v>
      </c>
      <c r="D534">
        <f>YEAR(Table1[[#This Row],[Order_Date]])</f>
        <v>2025</v>
      </c>
      <c r="E534" t="s">
        <v>46</v>
      </c>
      <c r="F534" t="s">
        <v>47</v>
      </c>
      <c r="G534" t="s">
        <v>65</v>
      </c>
      <c r="H534" t="s">
        <v>1413</v>
      </c>
      <c r="I534" t="s">
        <v>143</v>
      </c>
      <c r="J534" t="s">
        <v>51</v>
      </c>
      <c r="K534">
        <v>13</v>
      </c>
      <c r="L534">
        <v>7564</v>
      </c>
      <c r="M534">
        <v>6302</v>
      </c>
      <c r="N534">
        <v>1262</v>
      </c>
      <c r="O534" s="6">
        <f>Table1[[#This Row],[Profit]]/Table1[[#This Row],[Sales_Amount]]</f>
        <v>0.16684294024325755</v>
      </c>
      <c r="P534" t="s">
        <v>121</v>
      </c>
    </row>
    <row r="535" spans="1:16" x14ac:dyDescent="0.35">
      <c r="A535" t="s">
        <v>1414</v>
      </c>
      <c r="B535" t="s">
        <v>107</v>
      </c>
      <c r="C535" t="str">
        <f>TEXT(Table1[[#This Row],[Order_Date]],"mmm")</f>
        <v>Sep</v>
      </c>
      <c r="D535">
        <f>YEAR(Table1[[#This Row],[Order_Date]])</f>
        <v>2025</v>
      </c>
      <c r="E535" t="s">
        <v>63</v>
      </c>
      <c r="F535" t="s">
        <v>64</v>
      </c>
      <c r="G535" t="s">
        <v>80</v>
      </c>
      <c r="H535" t="s">
        <v>1415</v>
      </c>
      <c r="I535" t="s">
        <v>87</v>
      </c>
      <c r="J535" t="s">
        <v>88</v>
      </c>
      <c r="K535">
        <v>7</v>
      </c>
      <c r="L535">
        <v>56002</v>
      </c>
      <c r="M535">
        <v>36243</v>
      </c>
      <c r="N535">
        <v>19759</v>
      </c>
      <c r="O535" s="6">
        <f>Table1[[#This Row],[Profit]]/Table1[[#This Row],[Sales_Amount]]</f>
        <v>0.3528266847612585</v>
      </c>
      <c r="P535" t="s">
        <v>60</v>
      </c>
    </row>
    <row r="536" spans="1:16" x14ac:dyDescent="0.35">
      <c r="A536" t="s">
        <v>1416</v>
      </c>
      <c r="B536" t="s">
        <v>1417</v>
      </c>
      <c r="C536" t="str">
        <f>TEXT(Table1[[#This Row],[Order_Date]],"mmm")</f>
        <v>Jun</v>
      </c>
      <c r="D536">
        <f>YEAR(Table1[[#This Row],[Order_Date]])</f>
        <v>2025</v>
      </c>
      <c r="E536" t="s">
        <v>46</v>
      </c>
      <c r="F536" t="s">
        <v>47</v>
      </c>
      <c r="G536" t="s">
        <v>65</v>
      </c>
      <c r="H536" t="s">
        <v>1418</v>
      </c>
      <c r="I536" t="s">
        <v>156</v>
      </c>
      <c r="J536" t="s">
        <v>157</v>
      </c>
      <c r="K536">
        <v>19</v>
      </c>
      <c r="L536">
        <v>106194</v>
      </c>
      <c r="M536">
        <v>84028</v>
      </c>
      <c r="N536">
        <v>22166</v>
      </c>
      <c r="O536" s="6">
        <f>Table1[[#This Row],[Profit]]/Table1[[#This Row],[Sales_Amount]]</f>
        <v>0.20873119008606889</v>
      </c>
      <c r="P536" t="s">
        <v>121</v>
      </c>
    </row>
    <row r="537" spans="1:16" x14ac:dyDescent="0.35">
      <c r="A537" t="s">
        <v>1419</v>
      </c>
      <c r="B537" t="s">
        <v>360</v>
      </c>
      <c r="C537" t="str">
        <f>TEXT(Table1[[#This Row],[Order_Date]],"mmm")</f>
        <v>Apr</v>
      </c>
      <c r="D537">
        <f>YEAR(Table1[[#This Row],[Order_Date]])</f>
        <v>2025</v>
      </c>
      <c r="E537" t="s">
        <v>46</v>
      </c>
      <c r="F537" t="s">
        <v>74</v>
      </c>
      <c r="G537" t="s">
        <v>48</v>
      </c>
      <c r="H537" t="s">
        <v>1420</v>
      </c>
      <c r="I537" t="s">
        <v>87</v>
      </c>
      <c r="J537" t="s">
        <v>88</v>
      </c>
      <c r="K537">
        <v>20</v>
      </c>
      <c r="L537">
        <v>55415</v>
      </c>
      <c r="M537">
        <v>26250</v>
      </c>
      <c r="N537">
        <v>29165</v>
      </c>
      <c r="O537" s="6">
        <f>Table1[[#This Row],[Profit]]/Table1[[#This Row],[Sales_Amount]]</f>
        <v>0.52630154290354592</v>
      </c>
      <c r="P537" t="s">
        <v>98</v>
      </c>
    </row>
    <row r="538" spans="1:16" x14ac:dyDescent="0.35">
      <c r="A538" t="s">
        <v>1421</v>
      </c>
      <c r="B538" t="s">
        <v>1422</v>
      </c>
      <c r="C538" t="str">
        <f>TEXT(Table1[[#This Row],[Order_Date]],"mmm")</f>
        <v>Oct</v>
      </c>
      <c r="D538">
        <f>YEAR(Table1[[#This Row],[Order_Date]])</f>
        <v>2025</v>
      </c>
      <c r="E538" t="s">
        <v>111</v>
      </c>
      <c r="F538" t="s">
        <v>169</v>
      </c>
      <c r="G538" t="s">
        <v>48</v>
      </c>
      <c r="H538" t="s">
        <v>1423</v>
      </c>
      <c r="I538" t="s">
        <v>125</v>
      </c>
      <c r="J538" t="s">
        <v>83</v>
      </c>
      <c r="K538">
        <v>4</v>
      </c>
      <c r="L538">
        <v>55843</v>
      </c>
      <c r="M538">
        <v>39031</v>
      </c>
      <c r="N538">
        <v>16812</v>
      </c>
      <c r="O538" s="6">
        <f>Table1[[#This Row],[Profit]]/Table1[[#This Row],[Sales_Amount]]</f>
        <v>0.30105832423043177</v>
      </c>
      <c r="P538" t="s">
        <v>98</v>
      </c>
    </row>
    <row r="539" spans="1:16" x14ac:dyDescent="0.35">
      <c r="A539" t="s">
        <v>1424</v>
      </c>
      <c r="B539" t="s">
        <v>1425</v>
      </c>
      <c r="C539" t="str">
        <f>TEXT(Table1[[#This Row],[Order_Date]],"mmm")</f>
        <v>Jan</v>
      </c>
      <c r="D539">
        <f>YEAR(Table1[[#This Row],[Order_Date]])</f>
        <v>2025</v>
      </c>
      <c r="E539" t="s">
        <v>46</v>
      </c>
      <c r="F539" t="s">
        <v>47</v>
      </c>
      <c r="G539" t="s">
        <v>70</v>
      </c>
      <c r="H539" t="s">
        <v>1426</v>
      </c>
      <c r="I539" t="s">
        <v>59</v>
      </c>
      <c r="J539" t="s">
        <v>51</v>
      </c>
      <c r="K539">
        <v>24</v>
      </c>
      <c r="L539">
        <v>66673</v>
      </c>
      <c r="M539">
        <v>52389</v>
      </c>
      <c r="N539">
        <v>14284</v>
      </c>
      <c r="O539" s="6">
        <f>Table1[[#This Row],[Profit]]/Table1[[#This Row],[Sales_Amount]]</f>
        <v>0.21423964723351283</v>
      </c>
      <c r="P539" t="s">
        <v>52</v>
      </c>
    </row>
    <row r="540" spans="1:16" x14ac:dyDescent="0.35">
      <c r="A540" t="s">
        <v>1427</v>
      </c>
      <c r="B540" t="s">
        <v>1425</v>
      </c>
      <c r="C540" t="str">
        <f>TEXT(Table1[[#This Row],[Order_Date]],"mmm")</f>
        <v>Jan</v>
      </c>
      <c r="D540">
        <f>YEAR(Table1[[#This Row],[Order_Date]])</f>
        <v>2025</v>
      </c>
      <c r="E540" t="s">
        <v>111</v>
      </c>
      <c r="F540" t="s">
        <v>169</v>
      </c>
      <c r="G540" t="s">
        <v>70</v>
      </c>
      <c r="H540" t="s">
        <v>1428</v>
      </c>
      <c r="I540" t="s">
        <v>87</v>
      </c>
      <c r="J540" t="s">
        <v>88</v>
      </c>
      <c r="K540">
        <v>22</v>
      </c>
      <c r="L540">
        <v>10304</v>
      </c>
      <c r="M540">
        <v>5207</v>
      </c>
      <c r="N540">
        <v>5097</v>
      </c>
      <c r="O540" s="6">
        <f>Table1[[#This Row],[Profit]]/Table1[[#This Row],[Sales_Amount]]</f>
        <v>0.49466226708074534</v>
      </c>
      <c r="P540" t="s">
        <v>52</v>
      </c>
    </row>
    <row r="541" spans="1:16" x14ac:dyDescent="0.35">
      <c r="A541" t="s">
        <v>1429</v>
      </c>
      <c r="B541" t="s">
        <v>634</v>
      </c>
      <c r="C541" t="str">
        <f>TEXT(Table1[[#This Row],[Order_Date]],"mmm")</f>
        <v>Jan</v>
      </c>
      <c r="D541">
        <f>YEAR(Table1[[#This Row],[Order_Date]])</f>
        <v>2025</v>
      </c>
      <c r="E541" t="s">
        <v>111</v>
      </c>
      <c r="F541" t="s">
        <v>112</v>
      </c>
      <c r="G541" t="s">
        <v>65</v>
      </c>
      <c r="H541" t="s">
        <v>1430</v>
      </c>
      <c r="I541" t="s">
        <v>59</v>
      </c>
      <c r="J541" t="s">
        <v>51</v>
      </c>
      <c r="K541">
        <v>6</v>
      </c>
      <c r="L541">
        <v>111450</v>
      </c>
      <c r="M541">
        <v>67889</v>
      </c>
      <c r="N541">
        <v>43561</v>
      </c>
      <c r="O541" s="6">
        <f>Table1[[#This Row],[Profit]]/Table1[[#This Row],[Sales_Amount]]</f>
        <v>0.39085688649618661</v>
      </c>
      <c r="P541" t="s">
        <v>52</v>
      </c>
    </row>
    <row r="542" spans="1:16" x14ac:dyDescent="0.35">
      <c r="A542" t="s">
        <v>1431</v>
      </c>
      <c r="B542" t="s">
        <v>345</v>
      </c>
      <c r="C542" t="str">
        <f>TEXT(Table1[[#This Row],[Order_Date]],"mmm")</f>
        <v>Apr</v>
      </c>
      <c r="D542">
        <f>YEAR(Table1[[#This Row],[Order_Date]])</f>
        <v>2025</v>
      </c>
      <c r="E542" t="s">
        <v>55</v>
      </c>
      <c r="F542" t="s">
        <v>56</v>
      </c>
      <c r="G542" t="s">
        <v>80</v>
      </c>
      <c r="H542" t="s">
        <v>1432</v>
      </c>
      <c r="I542" t="s">
        <v>156</v>
      </c>
      <c r="J542" t="s">
        <v>157</v>
      </c>
      <c r="K542">
        <v>10</v>
      </c>
      <c r="L542">
        <v>112419</v>
      </c>
      <c r="M542">
        <v>68447</v>
      </c>
      <c r="N542">
        <v>43972</v>
      </c>
      <c r="O542" s="6">
        <f>Table1[[#This Row],[Profit]]/Table1[[#This Row],[Sales_Amount]]</f>
        <v>0.39114384579119188</v>
      </c>
      <c r="P542" t="s">
        <v>98</v>
      </c>
    </row>
    <row r="543" spans="1:16" x14ac:dyDescent="0.35">
      <c r="A543" t="s">
        <v>1434</v>
      </c>
      <c r="B543" t="s">
        <v>256</v>
      </c>
      <c r="C543" t="str">
        <f>TEXT(Table1[[#This Row],[Order_Date]],"mmm")</f>
        <v>Jun</v>
      </c>
      <c r="D543">
        <f>YEAR(Table1[[#This Row],[Order_Date]])</f>
        <v>2025</v>
      </c>
      <c r="E543" t="s">
        <v>55</v>
      </c>
      <c r="F543" t="s">
        <v>56</v>
      </c>
      <c r="G543" t="s">
        <v>128</v>
      </c>
      <c r="H543" t="s">
        <v>1435</v>
      </c>
      <c r="I543" t="s">
        <v>76</v>
      </c>
      <c r="J543" t="s">
        <v>77</v>
      </c>
      <c r="K543">
        <v>19</v>
      </c>
      <c r="L543">
        <v>110405</v>
      </c>
      <c r="M543">
        <v>89960</v>
      </c>
      <c r="N543">
        <v>20445</v>
      </c>
      <c r="O543" s="6">
        <f>Table1[[#This Row],[Profit]]/Table1[[#This Row],[Sales_Amount]]</f>
        <v>0.18518183053303744</v>
      </c>
      <c r="P543" t="s">
        <v>98</v>
      </c>
    </row>
    <row r="544" spans="1:16" x14ac:dyDescent="0.35">
      <c r="A544" t="s">
        <v>1436</v>
      </c>
      <c r="B544" t="s">
        <v>583</v>
      </c>
      <c r="C544" t="str">
        <f>TEXT(Table1[[#This Row],[Order_Date]],"mmm")</f>
        <v>Jul</v>
      </c>
      <c r="D544">
        <f>YEAR(Table1[[#This Row],[Order_Date]])</f>
        <v>2025</v>
      </c>
      <c r="E544" t="s">
        <v>46</v>
      </c>
      <c r="F544" t="s">
        <v>74</v>
      </c>
      <c r="G544" t="s">
        <v>57</v>
      </c>
      <c r="H544" t="s">
        <v>1437</v>
      </c>
      <c r="I544" t="s">
        <v>87</v>
      </c>
      <c r="J544" t="s">
        <v>88</v>
      </c>
      <c r="K544">
        <v>2</v>
      </c>
      <c r="L544">
        <v>91301</v>
      </c>
      <c r="M544">
        <v>76095</v>
      </c>
      <c r="N544">
        <v>15206</v>
      </c>
      <c r="O544" s="6">
        <f>Table1[[#This Row],[Profit]]/Table1[[#This Row],[Sales_Amount]]</f>
        <v>0.16654801152232726</v>
      </c>
      <c r="P544" t="s">
        <v>121</v>
      </c>
    </row>
    <row r="545" spans="1:16" x14ac:dyDescent="0.35">
      <c r="A545" t="s">
        <v>1438</v>
      </c>
      <c r="B545" t="s">
        <v>417</v>
      </c>
      <c r="C545" t="str">
        <f>TEXT(Table1[[#This Row],[Order_Date]],"mmm")</f>
        <v>Feb</v>
      </c>
      <c r="D545">
        <f>YEAR(Table1[[#This Row],[Order_Date]])</f>
        <v>2025</v>
      </c>
      <c r="E545" t="s">
        <v>55</v>
      </c>
      <c r="F545" t="s">
        <v>56</v>
      </c>
      <c r="G545" t="s">
        <v>57</v>
      </c>
      <c r="H545" t="s">
        <v>1439</v>
      </c>
      <c r="I545" t="s">
        <v>59</v>
      </c>
      <c r="J545" t="s">
        <v>51</v>
      </c>
      <c r="K545">
        <v>23</v>
      </c>
      <c r="L545">
        <v>78063</v>
      </c>
      <c r="M545">
        <v>46865</v>
      </c>
      <c r="N545">
        <v>31198</v>
      </c>
      <c r="O545" s="6">
        <f>Table1[[#This Row],[Profit]]/Table1[[#This Row],[Sales_Amount]]</f>
        <v>0.39965156348077835</v>
      </c>
      <c r="P545" t="s">
        <v>98</v>
      </c>
    </row>
    <row r="546" spans="1:16" x14ac:dyDescent="0.35">
      <c r="A546" t="s">
        <v>1440</v>
      </c>
      <c r="B546" t="s">
        <v>690</v>
      </c>
      <c r="C546" t="str">
        <f>TEXT(Table1[[#This Row],[Order_Date]],"mmm")</f>
        <v>Jul</v>
      </c>
      <c r="D546">
        <f>YEAR(Table1[[#This Row],[Order_Date]])</f>
        <v>2025</v>
      </c>
      <c r="E546" t="s">
        <v>63</v>
      </c>
      <c r="F546" t="s">
        <v>104</v>
      </c>
      <c r="G546" t="s">
        <v>128</v>
      </c>
      <c r="H546" t="s">
        <v>1441</v>
      </c>
      <c r="I546" t="s">
        <v>87</v>
      </c>
      <c r="J546" t="s">
        <v>88</v>
      </c>
      <c r="K546">
        <v>1</v>
      </c>
      <c r="L546">
        <v>34114</v>
      </c>
      <c r="M546">
        <v>28793</v>
      </c>
      <c r="N546">
        <v>5321</v>
      </c>
      <c r="O546" s="6">
        <f>Table1[[#This Row],[Profit]]/Table1[[#This Row],[Sales_Amount]]</f>
        <v>0.15597701823298352</v>
      </c>
      <c r="P546" t="s">
        <v>98</v>
      </c>
    </row>
    <row r="547" spans="1:16" x14ac:dyDescent="0.35">
      <c r="A547" t="s">
        <v>1442</v>
      </c>
      <c r="B547" t="s">
        <v>141</v>
      </c>
      <c r="C547" t="str">
        <f>TEXT(Table1[[#This Row],[Order_Date]],"mmm")</f>
        <v>Sep</v>
      </c>
      <c r="D547">
        <f>YEAR(Table1[[#This Row],[Order_Date]])</f>
        <v>2025</v>
      </c>
      <c r="E547" t="s">
        <v>46</v>
      </c>
      <c r="F547" t="s">
        <v>47</v>
      </c>
      <c r="G547" t="s">
        <v>116</v>
      </c>
      <c r="H547" t="s">
        <v>1443</v>
      </c>
      <c r="I547" t="s">
        <v>67</v>
      </c>
      <c r="J547" t="s">
        <v>51</v>
      </c>
      <c r="K547">
        <v>14</v>
      </c>
      <c r="L547">
        <v>4490</v>
      </c>
      <c r="M547">
        <v>2053</v>
      </c>
      <c r="N547">
        <v>2437</v>
      </c>
      <c r="O547" s="6">
        <f>Table1[[#This Row],[Profit]]/Table1[[#This Row],[Sales_Amount]]</f>
        <v>0.54276169265033403</v>
      </c>
      <c r="P547" t="s">
        <v>121</v>
      </c>
    </row>
    <row r="548" spans="1:16" x14ac:dyDescent="0.35">
      <c r="A548" t="s">
        <v>1444</v>
      </c>
      <c r="B548" t="s">
        <v>1445</v>
      </c>
      <c r="C548" t="str">
        <f>TEXT(Table1[[#This Row],[Order_Date]],"mmm")</f>
        <v>Dec</v>
      </c>
      <c r="D548">
        <f>YEAR(Table1[[#This Row],[Order_Date]])</f>
        <v>2025</v>
      </c>
      <c r="E548" t="s">
        <v>63</v>
      </c>
      <c r="F548" t="s">
        <v>64</v>
      </c>
      <c r="G548" t="s">
        <v>128</v>
      </c>
      <c r="H548" t="s">
        <v>1446</v>
      </c>
      <c r="I548" t="s">
        <v>143</v>
      </c>
      <c r="J548" t="s">
        <v>51</v>
      </c>
      <c r="K548">
        <v>2</v>
      </c>
      <c r="L548">
        <v>41298</v>
      </c>
      <c r="M548">
        <v>18688</v>
      </c>
      <c r="N548">
        <v>22610</v>
      </c>
      <c r="O548" s="6">
        <f>Table1[[#This Row],[Profit]]/Table1[[#This Row],[Sales_Amount]]</f>
        <v>0.54748413966778053</v>
      </c>
      <c r="P548" t="s">
        <v>60</v>
      </c>
    </row>
    <row r="549" spans="1:16" x14ac:dyDescent="0.35">
      <c r="A549" t="s">
        <v>1447</v>
      </c>
      <c r="B549" t="s">
        <v>1164</v>
      </c>
      <c r="C549" t="str">
        <f>TEXT(Table1[[#This Row],[Order_Date]],"mmm")</f>
        <v>Jun</v>
      </c>
      <c r="D549">
        <f>YEAR(Table1[[#This Row],[Order_Date]])</f>
        <v>2025</v>
      </c>
      <c r="E549" t="s">
        <v>111</v>
      </c>
      <c r="F549" t="s">
        <v>169</v>
      </c>
      <c r="G549" t="s">
        <v>128</v>
      </c>
      <c r="H549" t="s">
        <v>1448</v>
      </c>
      <c r="I549" t="s">
        <v>143</v>
      </c>
      <c r="J549" t="s">
        <v>51</v>
      </c>
      <c r="K549">
        <v>13</v>
      </c>
      <c r="L549">
        <v>42686</v>
      </c>
      <c r="M549">
        <v>23703</v>
      </c>
      <c r="N549">
        <v>18983</v>
      </c>
      <c r="O549" s="6">
        <f>Table1[[#This Row],[Profit]]/Table1[[#This Row],[Sales_Amount]]</f>
        <v>0.44471255212481842</v>
      </c>
      <c r="P549" t="s">
        <v>52</v>
      </c>
    </row>
    <row r="550" spans="1:16" x14ac:dyDescent="0.35">
      <c r="A550" t="s">
        <v>1449</v>
      </c>
      <c r="B550" t="s">
        <v>217</v>
      </c>
      <c r="C550" t="str">
        <f>TEXT(Table1[[#This Row],[Order_Date]],"mmm")</f>
        <v>Aug</v>
      </c>
      <c r="D550">
        <f>YEAR(Table1[[#This Row],[Order_Date]])</f>
        <v>2025</v>
      </c>
      <c r="E550" t="s">
        <v>46</v>
      </c>
      <c r="F550" t="s">
        <v>47</v>
      </c>
      <c r="G550" t="s">
        <v>138</v>
      </c>
      <c r="H550" t="s">
        <v>1450</v>
      </c>
      <c r="I550" t="s">
        <v>59</v>
      </c>
      <c r="J550" t="s">
        <v>51</v>
      </c>
      <c r="K550">
        <v>1</v>
      </c>
      <c r="L550">
        <v>20580</v>
      </c>
      <c r="M550">
        <v>13073</v>
      </c>
      <c r="N550">
        <v>7507</v>
      </c>
      <c r="O550" s="6">
        <f>Table1[[#This Row],[Profit]]/Table1[[#This Row],[Sales_Amount]]</f>
        <v>0.36477162293488824</v>
      </c>
      <c r="P550" t="s">
        <v>52</v>
      </c>
    </row>
    <row r="551" spans="1:16" x14ac:dyDescent="0.35">
      <c r="A551" t="s">
        <v>1451</v>
      </c>
      <c r="B551" t="s">
        <v>141</v>
      </c>
      <c r="C551" t="str">
        <f>TEXT(Table1[[#This Row],[Order_Date]],"mmm")</f>
        <v>Sep</v>
      </c>
      <c r="D551">
        <f>YEAR(Table1[[#This Row],[Order_Date]])</f>
        <v>2025</v>
      </c>
      <c r="E551" t="s">
        <v>63</v>
      </c>
      <c r="F551" t="s">
        <v>64</v>
      </c>
      <c r="G551" t="s">
        <v>80</v>
      </c>
      <c r="H551" t="s">
        <v>1452</v>
      </c>
      <c r="I551" t="s">
        <v>82</v>
      </c>
      <c r="J551" t="s">
        <v>83</v>
      </c>
      <c r="K551">
        <v>22</v>
      </c>
      <c r="L551">
        <v>102522</v>
      </c>
      <c r="M551">
        <v>48885</v>
      </c>
      <c r="N551">
        <v>53637</v>
      </c>
      <c r="O551" s="6">
        <f>Table1[[#This Row],[Profit]]/Table1[[#This Row],[Sales_Amount]]</f>
        <v>0.5231755135483116</v>
      </c>
      <c r="P551" t="s">
        <v>60</v>
      </c>
    </row>
    <row r="552" spans="1:16" x14ac:dyDescent="0.35">
      <c r="A552" t="s">
        <v>1453</v>
      </c>
      <c r="B552" t="s">
        <v>115</v>
      </c>
      <c r="C552" t="str">
        <f>TEXT(Table1[[#This Row],[Order_Date]],"mmm")</f>
        <v>Mar</v>
      </c>
      <c r="D552">
        <f>YEAR(Table1[[#This Row],[Order_Date]])</f>
        <v>2025</v>
      </c>
      <c r="E552" t="s">
        <v>55</v>
      </c>
      <c r="F552" t="s">
        <v>56</v>
      </c>
      <c r="G552" t="s">
        <v>116</v>
      </c>
      <c r="H552" t="s">
        <v>1454</v>
      </c>
      <c r="I552" t="s">
        <v>59</v>
      </c>
      <c r="J552" t="s">
        <v>51</v>
      </c>
      <c r="K552">
        <v>17</v>
      </c>
      <c r="L552">
        <v>21314</v>
      </c>
      <c r="M552">
        <v>15797</v>
      </c>
      <c r="N552">
        <v>5517</v>
      </c>
      <c r="O552" s="6">
        <f>Table1[[#This Row],[Profit]]/Table1[[#This Row],[Sales_Amount]]</f>
        <v>0.25884395233180069</v>
      </c>
      <c r="P552" t="s">
        <v>98</v>
      </c>
    </row>
    <row r="553" spans="1:16" x14ac:dyDescent="0.35">
      <c r="A553" t="s">
        <v>1455</v>
      </c>
      <c r="B553" t="s">
        <v>741</v>
      </c>
      <c r="C553" t="str">
        <f>TEXT(Table1[[#This Row],[Order_Date]],"mmm")</f>
        <v>Aug</v>
      </c>
      <c r="D553">
        <f>YEAR(Table1[[#This Row],[Order_Date]])</f>
        <v>2025</v>
      </c>
      <c r="E553" t="s">
        <v>55</v>
      </c>
      <c r="F553" t="s">
        <v>56</v>
      </c>
      <c r="G553" t="s">
        <v>65</v>
      </c>
      <c r="H553" t="s">
        <v>1456</v>
      </c>
      <c r="I553" t="s">
        <v>87</v>
      </c>
      <c r="J553" t="s">
        <v>88</v>
      </c>
      <c r="K553">
        <v>12</v>
      </c>
      <c r="L553">
        <v>55806</v>
      </c>
      <c r="M553">
        <v>31958</v>
      </c>
      <c r="N553">
        <v>23848</v>
      </c>
      <c r="O553" s="6">
        <f>Table1[[#This Row],[Profit]]/Table1[[#This Row],[Sales_Amount]]</f>
        <v>0.42733756226929004</v>
      </c>
      <c r="P553" t="s">
        <v>98</v>
      </c>
    </row>
    <row r="554" spans="1:16" x14ac:dyDescent="0.35">
      <c r="A554" t="s">
        <v>1457</v>
      </c>
      <c r="B554" t="s">
        <v>366</v>
      </c>
      <c r="C554" t="str">
        <f>TEXT(Table1[[#This Row],[Order_Date]],"mmm")</f>
        <v>May</v>
      </c>
      <c r="D554">
        <f>YEAR(Table1[[#This Row],[Order_Date]])</f>
        <v>2025</v>
      </c>
      <c r="E554" t="s">
        <v>111</v>
      </c>
      <c r="F554" t="s">
        <v>169</v>
      </c>
      <c r="G554" t="s">
        <v>138</v>
      </c>
      <c r="H554" t="s">
        <v>1458</v>
      </c>
      <c r="I554" t="s">
        <v>76</v>
      </c>
      <c r="J554" t="s">
        <v>77</v>
      </c>
      <c r="K554">
        <v>10</v>
      </c>
      <c r="L554">
        <v>47771</v>
      </c>
      <c r="M554">
        <v>22678</v>
      </c>
      <c r="N554">
        <v>25093</v>
      </c>
      <c r="O554" s="6">
        <f>Table1[[#This Row],[Profit]]/Table1[[#This Row],[Sales_Amount]]</f>
        <v>0.52527684159845933</v>
      </c>
      <c r="P554" t="s">
        <v>60</v>
      </c>
    </row>
    <row r="555" spans="1:16" x14ac:dyDescent="0.35">
      <c r="A555" t="s">
        <v>1459</v>
      </c>
      <c r="B555" t="s">
        <v>1460</v>
      </c>
      <c r="C555" t="str">
        <f>TEXT(Table1[[#This Row],[Order_Date]],"mmm")</f>
        <v>May</v>
      </c>
      <c r="D555">
        <f>YEAR(Table1[[#This Row],[Order_Date]])</f>
        <v>2025</v>
      </c>
      <c r="E555" t="s">
        <v>63</v>
      </c>
      <c r="F555" t="s">
        <v>64</v>
      </c>
      <c r="G555" t="s">
        <v>128</v>
      </c>
      <c r="H555" t="s">
        <v>1461</v>
      </c>
      <c r="I555" t="s">
        <v>156</v>
      </c>
      <c r="J555" t="s">
        <v>157</v>
      </c>
      <c r="K555">
        <v>12</v>
      </c>
      <c r="L555">
        <v>34894</v>
      </c>
      <c r="M555">
        <v>29270</v>
      </c>
      <c r="N555">
        <v>5624</v>
      </c>
      <c r="O555" s="6">
        <f>Table1[[#This Row],[Profit]]/Table1[[#This Row],[Sales_Amount]]</f>
        <v>0.16117384077491834</v>
      </c>
      <c r="P555" t="s">
        <v>52</v>
      </c>
    </row>
    <row r="556" spans="1:16" x14ac:dyDescent="0.35">
      <c r="A556" t="s">
        <v>1462</v>
      </c>
      <c r="B556" t="s">
        <v>523</v>
      </c>
      <c r="C556" t="str">
        <f>TEXT(Table1[[#This Row],[Order_Date]],"mmm")</f>
        <v>Mar</v>
      </c>
      <c r="D556">
        <f>YEAR(Table1[[#This Row],[Order_Date]])</f>
        <v>2025</v>
      </c>
      <c r="E556" t="s">
        <v>55</v>
      </c>
      <c r="F556" t="s">
        <v>56</v>
      </c>
      <c r="G556" t="s">
        <v>57</v>
      </c>
      <c r="H556" t="s">
        <v>660</v>
      </c>
      <c r="I556" t="s">
        <v>59</v>
      </c>
      <c r="J556" t="s">
        <v>51</v>
      </c>
      <c r="K556">
        <v>20</v>
      </c>
      <c r="L556">
        <v>36514</v>
      </c>
      <c r="M556">
        <v>30165</v>
      </c>
      <c r="N556">
        <v>6349</v>
      </c>
      <c r="O556" s="6">
        <f>Table1[[#This Row],[Profit]]/Table1[[#This Row],[Sales_Amount]]</f>
        <v>0.17387851235142684</v>
      </c>
      <c r="P556" t="s">
        <v>121</v>
      </c>
    </row>
    <row r="557" spans="1:16" x14ac:dyDescent="0.35">
      <c r="A557" t="s">
        <v>1463</v>
      </c>
      <c r="B557" t="s">
        <v>678</v>
      </c>
      <c r="C557" t="str">
        <f>TEXT(Table1[[#This Row],[Order_Date]],"mmm")</f>
        <v>Feb</v>
      </c>
      <c r="D557">
        <f>YEAR(Table1[[#This Row],[Order_Date]])</f>
        <v>2025</v>
      </c>
      <c r="E557" t="s">
        <v>46</v>
      </c>
      <c r="F557" t="s">
        <v>47</v>
      </c>
      <c r="G557" t="s">
        <v>65</v>
      </c>
      <c r="H557" t="s">
        <v>1464</v>
      </c>
      <c r="I557" t="s">
        <v>125</v>
      </c>
      <c r="J557" t="s">
        <v>83</v>
      </c>
      <c r="K557">
        <v>21</v>
      </c>
      <c r="L557">
        <v>31983</v>
      </c>
      <c r="M557">
        <v>22721</v>
      </c>
      <c r="N557">
        <v>9262</v>
      </c>
      <c r="O557" s="6">
        <f>Table1[[#This Row],[Profit]]/Table1[[#This Row],[Sales_Amount]]</f>
        <v>0.28959134540224496</v>
      </c>
      <c r="P557" t="s">
        <v>52</v>
      </c>
    </row>
    <row r="558" spans="1:16" x14ac:dyDescent="0.35">
      <c r="A558" t="s">
        <v>1465</v>
      </c>
      <c r="B558" t="s">
        <v>917</v>
      </c>
      <c r="C558" t="str">
        <f>TEXT(Table1[[#This Row],[Order_Date]],"mmm")</f>
        <v>Jul</v>
      </c>
      <c r="D558">
        <f>YEAR(Table1[[#This Row],[Order_Date]])</f>
        <v>2025</v>
      </c>
      <c r="E558" t="s">
        <v>111</v>
      </c>
      <c r="F558" t="s">
        <v>169</v>
      </c>
      <c r="G558" t="s">
        <v>128</v>
      </c>
      <c r="H558" t="s">
        <v>1466</v>
      </c>
      <c r="I558" t="s">
        <v>156</v>
      </c>
      <c r="J558" t="s">
        <v>157</v>
      </c>
      <c r="K558">
        <v>11</v>
      </c>
      <c r="L558">
        <v>60076</v>
      </c>
      <c r="M558">
        <v>35453</v>
      </c>
      <c r="N558">
        <v>24623</v>
      </c>
      <c r="O558" s="6">
        <f>Table1[[#This Row],[Profit]]/Table1[[#This Row],[Sales_Amount]]</f>
        <v>0.40986417204873826</v>
      </c>
      <c r="P558" t="s">
        <v>121</v>
      </c>
    </row>
    <row r="559" spans="1:16" x14ac:dyDescent="0.35">
      <c r="A559" t="s">
        <v>1467</v>
      </c>
      <c r="B559" t="s">
        <v>1133</v>
      </c>
      <c r="C559" t="str">
        <f>TEXT(Table1[[#This Row],[Order_Date]],"mmm")</f>
        <v>Jan</v>
      </c>
      <c r="D559">
        <f>YEAR(Table1[[#This Row],[Order_Date]])</f>
        <v>2025</v>
      </c>
      <c r="E559" t="s">
        <v>55</v>
      </c>
      <c r="F559" t="s">
        <v>56</v>
      </c>
      <c r="G559" t="s">
        <v>138</v>
      </c>
      <c r="H559" t="s">
        <v>1468</v>
      </c>
      <c r="I559" t="s">
        <v>87</v>
      </c>
      <c r="J559" t="s">
        <v>88</v>
      </c>
      <c r="K559">
        <v>9</v>
      </c>
      <c r="L559">
        <v>50362</v>
      </c>
      <c r="M559">
        <v>35612</v>
      </c>
      <c r="N559">
        <v>14750</v>
      </c>
      <c r="O559" s="6">
        <f>Table1[[#This Row],[Profit]]/Table1[[#This Row],[Sales_Amount]]</f>
        <v>0.2928795520432072</v>
      </c>
      <c r="P559" t="s">
        <v>60</v>
      </c>
    </row>
    <row r="560" spans="1:16" x14ac:dyDescent="0.35">
      <c r="A560" t="s">
        <v>1469</v>
      </c>
      <c r="B560" t="s">
        <v>151</v>
      </c>
      <c r="C560" t="str">
        <f>TEXT(Table1[[#This Row],[Order_Date]],"mmm")</f>
        <v>May</v>
      </c>
      <c r="D560">
        <f>YEAR(Table1[[#This Row],[Order_Date]])</f>
        <v>2025</v>
      </c>
      <c r="E560" t="s">
        <v>63</v>
      </c>
      <c r="F560" t="s">
        <v>104</v>
      </c>
      <c r="G560" t="s">
        <v>138</v>
      </c>
      <c r="H560" t="s">
        <v>1470</v>
      </c>
      <c r="I560" t="s">
        <v>76</v>
      </c>
      <c r="J560" t="s">
        <v>77</v>
      </c>
      <c r="K560">
        <v>8</v>
      </c>
      <c r="L560">
        <v>75563</v>
      </c>
      <c r="M560">
        <v>46287</v>
      </c>
      <c r="N560">
        <v>29276</v>
      </c>
      <c r="O560" s="6">
        <f>Table1[[#This Row],[Profit]]/Table1[[#This Row],[Sales_Amount]]</f>
        <v>0.38743829652078399</v>
      </c>
      <c r="P560" t="s">
        <v>98</v>
      </c>
    </row>
    <row r="561" spans="1:16" x14ac:dyDescent="0.35">
      <c r="A561" t="s">
        <v>1471</v>
      </c>
      <c r="B561" t="s">
        <v>722</v>
      </c>
      <c r="C561" t="str">
        <f>TEXT(Table1[[#This Row],[Order_Date]],"mmm")</f>
        <v>Jun</v>
      </c>
      <c r="D561">
        <f>YEAR(Table1[[#This Row],[Order_Date]])</f>
        <v>2025</v>
      </c>
      <c r="E561" t="s">
        <v>46</v>
      </c>
      <c r="F561" t="s">
        <v>74</v>
      </c>
      <c r="G561" t="s">
        <v>128</v>
      </c>
      <c r="H561" t="s">
        <v>437</v>
      </c>
      <c r="I561" t="s">
        <v>76</v>
      </c>
      <c r="J561" t="s">
        <v>77</v>
      </c>
      <c r="K561">
        <v>22</v>
      </c>
      <c r="L561">
        <v>86817</v>
      </c>
      <c r="M561">
        <v>57988</v>
      </c>
      <c r="N561">
        <v>28829</v>
      </c>
      <c r="O561" s="6">
        <f>Table1[[#This Row],[Profit]]/Table1[[#This Row],[Sales_Amount]]</f>
        <v>0.33206630037895801</v>
      </c>
      <c r="P561" t="s">
        <v>121</v>
      </c>
    </row>
    <row r="562" spans="1:16" x14ac:dyDescent="0.35">
      <c r="A562" t="s">
        <v>1472</v>
      </c>
      <c r="B562" t="s">
        <v>123</v>
      </c>
      <c r="C562" t="str">
        <f>TEXT(Table1[[#This Row],[Order_Date]],"mmm")</f>
        <v>Jul</v>
      </c>
      <c r="D562">
        <f>YEAR(Table1[[#This Row],[Order_Date]])</f>
        <v>2025</v>
      </c>
      <c r="E562" t="s">
        <v>111</v>
      </c>
      <c r="F562" t="s">
        <v>169</v>
      </c>
      <c r="G562" t="s">
        <v>70</v>
      </c>
      <c r="H562" t="s">
        <v>1473</v>
      </c>
      <c r="I562" t="s">
        <v>125</v>
      </c>
      <c r="J562" t="s">
        <v>83</v>
      </c>
      <c r="K562">
        <v>13</v>
      </c>
      <c r="L562">
        <v>57802</v>
      </c>
      <c r="M562">
        <v>41505</v>
      </c>
      <c r="N562">
        <v>16297</v>
      </c>
      <c r="O562" s="6">
        <f>Table1[[#This Row],[Profit]]/Table1[[#This Row],[Sales_Amount]]</f>
        <v>0.28194526140963982</v>
      </c>
      <c r="P562" t="s">
        <v>98</v>
      </c>
    </row>
    <row r="563" spans="1:16" x14ac:dyDescent="0.35">
      <c r="A563" t="s">
        <v>1474</v>
      </c>
      <c r="B563" t="s">
        <v>412</v>
      </c>
      <c r="C563" t="str">
        <f>TEXT(Table1[[#This Row],[Order_Date]],"mmm")</f>
        <v>May</v>
      </c>
      <c r="D563">
        <f>YEAR(Table1[[#This Row],[Order_Date]])</f>
        <v>2025</v>
      </c>
      <c r="E563" t="s">
        <v>63</v>
      </c>
      <c r="F563" t="s">
        <v>104</v>
      </c>
      <c r="G563" t="s">
        <v>57</v>
      </c>
      <c r="H563" t="s">
        <v>1475</v>
      </c>
      <c r="I563" t="s">
        <v>76</v>
      </c>
      <c r="J563" t="s">
        <v>77</v>
      </c>
      <c r="K563">
        <v>16</v>
      </c>
      <c r="L563">
        <v>30772</v>
      </c>
      <c r="M563">
        <v>18602</v>
      </c>
      <c r="N563">
        <v>12170</v>
      </c>
      <c r="O563" s="6">
        <f>Table1[[#This Row],[Profit]]/Table1[[#This Row],[Sales_Amount]]</f>
        <v>0.39548940595346421</v>
      </c>
      <c r="P563" t="s">
        <v>121</v>
      </c>
    </row>
    <row r="564" spans="1:16" x14ac:dyDescent="0.35">
      <c r="A564" t="s">
        <v>1476</v>
      </c>
      <c r="B564" t="s">
        <v>1477</v>
      </c>
      <c r="C564" t="str">
        <f>TEXT(Table1[[#This Row],[Order_Date]],"mmm")</f>
        <v>Aug</v>
      </c>
      <c r="D564">
        <f>YEAR(Table1[[#This Row],[Order_Date]])</f>
        <v>2025</v>
      </c>
      <c r="E564" t="s">
        <v>55</v>
      </c>
      <c r="F564" t="s">
        <v>188</v>
      </c>
      <c r="G564" t="s">
        <v>138</v>
      </c>
      <c r="H564" t="s">
        <v>1478</v>
      </c>
      <c r="I564" t="s">
        <v>156</v>
      </c>
      <c r="J564" t="s">
        <v>157</v>
      </c>
      <c r="K564">
        <v>12</v>
      </c>
      <c r="L564">
        <v>65699</v>
      </c>
      <c r="M564">
        <v>52738</v>
      </c>
      <c r="N564">
        <v>12961</v>
      </c>
      <c r="O564" s="6">
        <f>Table1[[#This Row],[Profit]]/Table1[[#This Row],[Sales_Amount]]</f>
        <v>0.1972784973896102</v>
      </c>
      <c r="P564" t="s">
        <v>121</v>
      </c>
    </row>
    <row r="565" spans="1:16" x14ac:dyDescent="0.35">
      <c r="A565" t="s">
        <v>1479</v>
      </c>
      <c r="B565" t="s">
        <v>840</v>
      </c>
      <c r="C565" t="str">
        <f>TEXT(Table1[[#This Row],[Order_Date]],"mmm")</f>
        <v>Jun</v>
      </c>
      <c r="D565">
        <f>YEAR(Table1[[#This Row],[Order_Date]])</f>
        <v>2025</v>
      </c>
      <c r="E565" t="s">
        <v>63</v>
      </c>
      <c r="F565" t="s">
        <v>64</v>
      </c>
      <c r="G565" t="s">
        <v>138</v>
      </c>
      <c r="H565" t="s">
        <v>1480</v>
      </c>
      <c r="I565" t="s">
        <v>67</v>
      </c>
      <c r="J565" t="s">
        <v>51</v>
      </c>
      <c r="K565">
        <v>16</v>
      </c>
      <c r="L565">
        <v>106096</v>
      </c>
      <c r="M565">
        <v>85658</v>
      </c>
      <c r="N565">
        <v>20438</v>
      </c>
      <c r="O565" s="6">
        <f>Table1[[#This Row],[Profit]]/Table1[[#This Row],[Sales_Amount]]</f>
        <v>0.19263685718594481</v>
      </c>
      <c r="P565" t="s">
        <v>121</v>
      </c>
    </row>
    <row r="566" spans="1:16" x14ac:dyDescent="0.35">
      <c r="A566" t="s">
        <v>1481</v>
      </c>
      <c r="B566" t="s">
        <v>100</v>
      </c>
      <c r="C566" t="str">
        <f>TEXT(Table1[[#This Row],[Order_Date]],"mmm")</f>
        <v>Jul</v>
      </c>
      <c r="D566">
        <f>YEAR(Table1[[#This Row],[Order_Date]])</f>
        <v>2025</v>
      </c>
      <c r="E566" t="s">
        <v>111</v>
      </c>
      <c r="F566" t="s">
        <v>169</v>
      </c>
      <c r="G566" t="s">
        <v>57</v>
      </c>
      <c r="H566" t="s">
        <v>1482</v>
      </c>
      <c r="I566" t="s">
        <v>82</v>
      </c>
      <c r="J566" t="s">
        <v>83</v>
      </c>
      <c r="K566">
        <v>9</v>
      </c>
      <c r="L566">
        <v>62150</v>
      </c>
      <c r="M566">
        <v>48235</v>
      </c>
      <c r="N566">
        <v>13915</v>
      </c>
      <c r="O566" s="6">
        <f>Table1[[#This Row],[Profit]]/Table1[[#This Row],[Sales_Amount]]</f>
        <v>0.22389380530973452</v>
      </c>
      <c r="P566" t="s">
        <v>60</v>
      </c>
    </row>
    <row r="567" spans="1:16" x14ac:dyDescent="0.35">
      <c r="A567" t="s">
        <v>1483</v>
      </c>
      <c r="B567" t="s">
        <v>434</v>
      </c>
      <c r="C567" t="str">
        <f>TEXT(Table1[[#This Row],[Order_Date]],"mmm")</f>
        <v>May</v>
      </c>
      <c r="D567">
        <f>YEAR(Table1[[#This Row],[Order_Date]])</f>
        <v>2025</v>
      </c>
      <c r="E567" t="s">
        <v>46</v>
      </c>
      <c r="F567" t="s">
        <v>74</v>
      </c>
      <c r="G567" t="s">
        <v>138</v>
      </c>
      <c r="H567" t="s">
        <v>1484</v>
      </c>
      <c r="I567" t="s">
        <v>125</v>
      </c>
      <c r="J567" t="s">
        <v>83</v>
      </c>
      <c r="K567">
        <v>18</v>
      </c>
      <c r="L567">
        <v>83755</v>
      </c>
      <c r="M567">
        <v>43375</v>
      </c>
      <c r="N567">
        <v>40380</v>
      </c>
      <c r="O567" s="6">
        <f>Table1[[#This Row],[Profit]]/Table1[[#This Row],[Sales_Amount]]</f>
        <v>0.48212047041967643</v>
      </c>
      <c r="P567" t="s">
        <v>60</v>
      </c>
    </row>
    <row r="568" spans="1:16" x14ac:dyDescent="0.35">
      <c r="A568" t="s">
        <v>1485</v>
      </c>
      <c r="B568" t="s">
        <v>1486</v>
      </c>
      <c r="C568" t="str">
        <f>TEXT(Table1[[#This Row],[Order_Date]],"mmm")</f>
        <v>Apr</v>
      </c>
      <c r="D568">
        <f>YEAR(Table1[[#This Row],[Order_Date]])</f>
        <v>2025</v>
      </c>
      <c r="E568" t="s">
        <v>55</v>
      </c>
      <c r="F568" t="s">
        <v>56</v>
      </c>
      <c r="G568" t="s">
        <v>65</v>
      </c>
      <c r="H568" t="s">
        <v>1487</v>
      </c>
      <c r="I568" t="s">
        <v>59</v>
      </c>
      <c r="J568" t="s">
        <v>51</v>
      </c>
      <c r="K568">
        <v>2</v>
      </c>
      <c r="L568">
        <v>59696</v>
      </c>
      <c r="M568">
        <v>47564</v>
      </c>
      <c r="N568">
        <v>12132</v>
      </c>
      <c r="O568" s="6">
        <f>Table1[[#This Row],[Profit]]/Table1[[#This Row],[Sales_Amount]]</f>
        <v>0.20322969713213615</v>
      </c>
      <c r="P568" t="s">
        <v>121</v>
      </c>
    </row>
    <row r="569" spans="1:16" x14ac:dyDescent="0.35">
      <c r="A569" t="s">
        <v>1488</v>
      </c>
      <c r="B569" t="s">
        <v>1489</v>
      </c>
      <c r="C569" t="str">
        <f>TEXT(Table1[[#This Row],[Order_Date]],"mmm")</f>
        <v>Jan</v>
      </c>
      <c r="D569">
        <f>YEAR(Table1[[#This Row],[Order_Date]])</f>
        <v>2025</v>
      </c>
      <c r="E569" t="s">
        <v>46</v>
      </c>
      <c r="F569" t="s">
        <v>47</v>
      </c>
      <c r="G569" t="s">
        <v>80</v>
      </c>
      <c r="H569" t="s">
        <v>1490</v>
      </c>
      <c r="I569" t="s">
        <v>125</v>
      </c>
      <c r="J569" t="s">
        <v>83</v>
      </c>
      <c r="K569">
        <v>6</v>
      </c>
      <c r="L569">
        <v>15487</v>
      </c>
      <c r="M569">
        <v>13124</v>
      </c>
      <c r="N569">
        <v>2363</v>
      </c>
      <c r="O569" s="6">
        <f>Table1[[#This Row],[Profit]]/Table1[[#This Row],[Sales_Amount]]</f>
        <v>0.15257958287596049</v>
      </c>
      <c r="P569" t="s">
        <v>60</v>
      </c>
    </row>
    <row r="570" spans="1:16" x14ac:dyDescent="0.35">
      <c r="A570" t="s">
        <v>1491</v>
      </c>
      <c r="B570" t="s">
        <v>523</v>
      </c>
      <c r="C570" t="str">
        <f>TEXT(Table1[[#This Row],[Order_Date]],"mmm")</f>
        <v>Mar</v>
      </c>
      <c r="D570">
        <f>YEAR(Table1[[#This Row],[Order_Date]])</f>
        <v>2025</v>
      </c>
      <c r="E570" t="s">
        <v>55</v>
      </c>
      <c r="F570" t="s">
        <v>56</v>
      </c>
      <c r="G570" t="s">
        <v>57</v>
      </c>
      <c r="H570" t="s">
        <v>1492</v>
      </c>
      <c r="I570" t="s">
        <v>82</v>
      </c>
      <c r="J570" t="s">
        <v>83</v>
      </c>
      <c r="K570">
        <v>22</v>
      </c>
      <c r="L570">
        <v>44925</v>
      </c>
      <c r="M570">
        <v>27896</v>
      </c>
      <c r="N570">
        <v>17029</v>
      </c>
      <c r="O570" s="6">
        <f>Table1[[#This Row],[Profit]]/Table1[[#This Row],[Sales_Amount]]</f>
        <v>0.37905397885364495</v>
      </c>
      <c r="P570" t="s">
        <v>52</v>
      </c>
    </row>
    <row r="571" spans="1:16" x14ac:dyDescent="0.35">
      <c r="A571" t="s">
        <v>1493</v>
      </c>
      <c r="B571" t="s">
        <v>1494</v>
      </c>
      <c r="C571" t="str">
        <f>TEXT(Table1[[#This Row],[Order_Date]],"mmm")</f>
        <v>Aug</v>
      </c>
      <c r="D571">
        <f>YEAR(Table1[[#This Row],[Order_Date]])</f>
        <v>2025</v>
      </c>
      <c r="E571" t="s">
        <v>63</v>
      </c>
      <c r="F571" t="s">
        <v>104</v>
      </c>
      <c r="G571" t="s">
        <v>70</v>
      </c>
      <c r="H571" t="s">
        <v>1495</v>
      </c>
      <c r="I571" t="s">
        <v>125</v>
      </c>
      <c r="J571" t="s">
        <v>83</v>
      </c>
      <c r="K571">
        <v>8</v>
      </c>
      <c r="L571">
        <v>39642</v>
      </c>
      <c r="M571">
        <v>20511</v>
      </c>
      <c r="N571">
        <v>19131</v>
      </c>
      <c r="O571" s="6">
        <f>Table1[[#This Row],[Profit]]/Table1[[#This Row],[Sales_Amount]]</f>
        <v>0.48259421825336762</v>
      </c>
      <c r="P571" t="s">
        <v>121</v>
      </c>
    </row>
    <row r="572" spans="1:16" x14ac:dyDescent="0.35">
      <c r="A572" t="s">
        <v>1496</v>
      </c>
      <c r="B572" t="s">
        <v>649</v>
      </c>
      <c r="C572" t="str">
        <f>TEXT(Table1[[#This Row],[Order_Date]],"mmm")</f>
        <v>Oct</v>
      </c>
      <c r="D572">
        <f>YEAR(Table1[[#This Row],[Order_Date]])</f>
        <v>2025</v>
      </c>
      <c r="E572" t="s">
        <v>46</v>
      </c>
      <c r="F572" t="s">
        <v>47</v>
      </c>
      <c r="G572" t="s">
        <v>128</v>
      </c>
      <c r="H572" t="s">
        <v>1497</v>
      </c>
      <c r="I572" t="s">
        <v>156</v>
      </c>
      <c r="J572" t="s">
        <v>157</v>
      </c>
      <c r="K572">
        <v>10</v>
      </c>
      <c r="L572">
        <v>103103</v>
      </c>
      <c r="M572">
        <v>82486</v>
      </c>
      <c r="N572">
        <v>20617</v>
      </c>
      <c r="O572" s="6">
        <f>Table1[[#This Row],[Profit]]/Table1[[#This Row],[Sales_Amount]]</f>
        <v>0.19996508346022909</v>
      </c>
      <c r="P572" t="s">
        <v>52</v>
      </c>
    </row>
    <row r="573" spans="1:16" x14ac:dyDescent="0.35">
      <c r="A573" t="s">
        <v>1498</v>
      </c>
      <c r="B573" t="s">
        <v>115</v>
      </c>
      <c r="C573" t="str">
        <f>TEXT(Table1[[#This Row],[Order_Date]],"mmm")</f>
        <v>Mar</v>
      </c>
      <c r="D573">
        <f>YEAR(Table1[[#This Row],[Order_Date]])</f>
        <v>2025</v>
      </c>
      <c r="E573" t="s">
        <v>63</v>
      </c>
      <c r="F573" t="s">
        <v>104</v>
      </c>
      <c r="G573" t="s">
        <v>128</v>
      </c>
      <c r="H573" t="s">
        <v>1499</v>
      </c>
      <c r="I573" t="s">
        <v>156</v>
      </c>
      <c r="J573" t="s">
        <v>157</v>
      </c>
      <c r="K573">
        <v>3</v>
      </c>
      <c r="L573">
        <v>46413</v>
      </c>
      <c r="M573">
        <v>23961</v>
      </c>
      <c r="N573">
        <v>22452</v>
      </c>
      <c r="O573" s="6">
        <f>Table1[[#This Row],[Profit]]/Table1[[#This Row],[Sales_Amount]]</f>
        <v>0.48374377868269663</v>
      </c>
      <c r="P573" t="s">
        <v>98</v>
      </c>
    </row>
    <row r="574" spans="1:16" x14ac:dyDescent="0.35">
      <c r="A574" t="s">
        <v>1500</v>
      </c>
      <c r="B574" t="s">
        <v>642</v>
      </c>
      <c r="C574" t="str">
        <f>TEXT(Table1[[#This Row],[Order_Date]],"mmm")</f>
        <v>Sep</v>
      </c>
      <c r="D574">
        <f>YEAR(Table1[[#This Row],[Order_Date]])</f>
        <v>2025</v>
      </c>
      <c r="E574" t="s">
        <v>55</v>
      </c>
      <c r="F574" t="s">
        <v>188</v>
      </c>
      <c r="G574" t="s">
        <v>48</v>
      </c>
      <c r="H574" t="s">
        <v>1501</v>
      </c>
      <c r="I574" t="s">
        <v>143</v>
      </c>
      <c r="J574" t="s">
        <v>51</v>
      </c>
      <c r="K574">
        <v>17</v>
      </c>
      <c r="L574">
        <v>43228</v>
      </c>
      <c r="M574">
        <v>36371</v>
      </c>
      <c r="N574">
        <v>6857</v>
      </c>
      <c r="O574" s="6">
        <f>Table1[[#This Row],[Profit]]/Table1[[#This Row],[Sales_Amount]]</f>
        <v>0.15862403997409086</v>
      </c>
      <c r="P574" t="s">
        <v>60</v>
      </c>
    </row>
    <row r="575" spans="1:16" x14ac:dyDescent="0.35">
      <c r="A575" t="s">
        <v>1502</v>
      </c>
      <c r="B575" t="s">
        <v>1061</v>
      </c>
      <c r="C575" t="str">
        <f>TEXT(Table1[[#This Row],[Order_Date]],"mmm")</f>
        <v>Aug</v>
      </c>
      <c r="D575">
        <f>YEAR(Table1[[#This Row],[Order_Date]])</f>
        <v>2025</v>
      </c>
      <c r="E575" t="s">
        <v>46</v>
      </c>
      <c r="F575" t="s">
        <v>47</v>
      </c>
      <c r="G575" t="s">
        <v>80</v>
      </c>
      <c r="H575" t="s">
        <v>1503</v>
      </c>
      <c r="I575" t="s">
        <v>87</v>
      </c>
      <c r="J575" t="s">
        <v>88</v>
      </c>
      <c r="K575">
        <v>17</v>
      </c>
      <c r="L575">
        <v>100243</v>
      </c>
      <c r="M575">
        <v>82866</v>
      </c>
      <c r="N575">
        <v>17377</v>
      </c>
      <c r="O575" s="6">
        <f>Table1[[#This Row],[Profit]]/Table1[[#This Row],[Sales_Amount]]</f>
        <v>0.17334876250710773</v>
      </c>
      <c r="P575" t="s">
        <v>60</v>
      </c>
    </row>
    <row r="576" spans="1:16" x14ac:dyDescent="0.35">
      <c r="A576" t="s">
        <v>1504</v>
      </c>
      <c r="B576" t="s">
        <v>942</v>
      </c>
      <c r="C576" t="str">
        <f>TEXT(Table1[[#This Row],[Order_Date]],"mmm")</f>
        <v>Jul</v>
      </c>
      <c r="D576">
        <f>YEAR(Table1[[#This Row],[Order_Date]])</f>
        <v>2025</v>
      </c>
      <c r="E576" t="s">
        <v>55</v>
      </c>
      <c r="F576" t="s">
        <v>56</v>
      </c>
      <c r="G576" t="s">
        <v>65</v>
      </c>
      <c r="H576" t="s">
        <v>1505</v>
      </c>
      <c r="I576" t="s">
        <v>67</v>
      </c>
      <c r="J576" t="s">
        <v>51</v>
      </c>
      <c r="K576">
        <v>9</v>
      </c>
      <c r="L576">
        <v>87769</v>
      </c>
      <c r="M576">
        <v>66479</v>
      </c>
      <c r="N576">
        <v>21290</v>
      </c>
      <c r="O576" s="6">
        <f>Table1[[#This Row],[Profit]]/Table1[[#This Row],[Sales_Amount]]</f>
        <v>0.24256856065353372</v>
      </c>
      <c r="P576" t="s">
        <v>121</v>
      </c>
    </row>
    <row r="577" spans="1:16" x14ac:dyDescent="0.35">
      <c r="A577" t="s">
        <v>1506</v>
      </c>
      <c r="B577" t="s">
        <v>333</v>
      </c>
      <c r="C577" t="str">
        <f>TEXT(Table1[[#This Row],[Order_Date]],"mmm")</f>
        <v>Dec</v>
      </c>
      <c r="D577">
        <f>YEAR(Table1[[#This Row],[Order_Date]])</f>
        <v>2025</v>
      </c>
      <c r="E577" t="s">
        <v>46</v>
      </c>
      <c r="F577" t="s">
        <v>74</v>
      </c>
      <c r="G577" t="s">
        <v>138</v>
      </c>
      <c r="H577" t="s">
        <v>1507</v>
      </c>
      <c r="I577" t="s">
        <v>50</v>
      </c>
      <c r="J577" t="s">
        <v>51</v>
      </c>
      <c r="K577">
        <v>20</v>
      </c>
      <c r="L577">
        <v>93187</v>
      </c>
      <c r="M577">
        <v>57642</v>
      </c>
      <c r="N577">
        <v>35545</v>
      </c>
      <c r="O577" s="6">
        <f>Table1[[#This Row],[Profit]]/Table1[[#This Row],[Sales_Amount]]</f>
        <v>0.38143732494875893</v>
      </c>
      <c r="P577" t="s">
        <v>121</v>
      </c>
    </row>
    <row r="578" spans="1:16" x14ac:dyDescent="0.35">
      <c r="A578" t="s">
        <v>1508</v>
      </c>
      <c r="B578" t="s">
        <v>482</v>
      </c>
      <c r="C578" t="str">
        <f>TEXT(Table1[[#This Row],[Order_Date]],"mmm")</f>
        <v>May</v>
      </c>
      <c r="D578">
        <f>YEAR(Table1[[#This Row],[Order_Date]])</f>
        <v>2025</v>
      </c>
      <c r="E578" t="s">
        <v>111</v>
      </c>
      <c r="F578" t="s">
        <v>169</v>
      </c>
      <c r="G578" t="s">
        <v>128</v>
      </c>
      <c r="H578" t="s">
        <v>1509</v>
      </c>
      <c r="I578" t="s">
        <v>76</v>
      </c>
      <c r="J578" t="s">
        <v>77</v>
      </c>
      <c r="K578">
        <v>17</v>
      </c>
      <c r="L578">
        <v>88727</v>
      </c>
      <c r="M578">
        <v>47581</v>
      </c>
      <c r="N578">
        <v>41146</v>
      </c>
      <c r="O578" s="6">
        <f>Table1[[#This Row],[Profit]]/Table1[[#This Row],[Sales_Amount]]</f>
        <v>0.46373708115906093</v>
      </c>
      <c r="P578" t="s">
        <v>52</v>
      </c>
    </row>
    <row r="579" spans="1:16" x14ac:dyDescent="0.35">
      <c r="A579" t="s">
        <v>1510</v>
      </c>
      <c r="B579" t="s">
        <v>1288</v>
      </c>
      <c r="C579" t="str">
        <f>TEXT(Table1[[#This Row],[Order_Date]],"mmm")</f>
        <v>Oct</v>
      </c>
      <c r="D579">
        <f>YEAR(Table1[[#This Row],[Order_Date]])</f>
        <v>2025</v>
      </c>
      <c r="E579" t="s">
        <v>63</v>
      </c>
      <c r="F579" t="s">
        <v>104</v>
      </c>
      <c r="G579" t="s">
        <v>128</v>
      </c>
      <c r="H579" t="s">
        <v>1511</v>
      </c>
      <c r="I579" t="s">
        <v>143</v>
      </c>
      <c r="J579" t="s">
        <v>51</v>
      </c>
      <c r="K579">
        <v>25</v>
      </c>
      <c r="L579">
        <v>25250</v>
      </c>
      <c r="M579">
        <v>20052</v>
      </c>
      <c r="N579">
        <v>5198</v>
      </c>
      <c r="O579" s="6">
        <f>Table1[[#This Row],[Profit]]/Table1[[#This Row],[Sales_Amount]]</f>
        <v>0.20586138613861385</v>
      </c>
      <c r="P579" t="s">
        <v>52</v>
      </c>
    </row>
    <row r="580" spans="1:16" x14ac:dyDescent="0.35">
      <c r="A580" t="s">
        <v>1512</v>
      </c>
      <c r="B580" t="s">
        <v>1378</v>
      </c>
      <c r="C580" t="str">
        <f>TEXT(Table1[[#This Row],[Order_Date]],"mmm")</f>
        <v>Dec</v>
      </c>
      <c r="D580">
        <f>YEAR(Table1[[#This Row],[Order_Date]])</f>
        <v>2025</v>
      </c>
      <c r="E580" t="s">
        <v>55</v>
      </c>
      <c r="F580" t="s">
        <v>56</v>
      </c>
      <c r="G580" t="s">
        <v>70</v>
      </c>
      <c r="H580" t="s">
        <v>1513</v>
      </c>
      <c r="I580" t="s">
        <v>125</v>
      </c>
      <c r="J580" t="s">
        <v>83</v>
      </c>
      <c r="K580">
        <v>20</v>
      </c>
      <c r="L580">
        <v>50829</v>
      </c>
      <c r="M580">
        <v>35014</v>
      </c>
      <c r="N580">
        <v>15815</v>
      </c>
      <c r="O580" s="6">
        <f>Table1[[#This Row],[Profit]]/Table1[[#This Row],[Sales_Amount]]</f>
        <v>0.31114127761710836</v>
      </c>
      <c r="P580" t="s">
        <v>52</v>
      </c>
    </row>
    <row r="581" spans="1:16" x14ac:dyDescent="0.35">
      <c r="A581" t="s">
        <v>1514</v>
      </c>
      <c r="B581" t="s">
        <v>115</v>
      </c>
      <c r="C581" t="str">
        <f>TEXT(Table1[[#This Row],[Order_Date]],"mmm")</f>
        <v>Mar</v>
      </c>
      <c r="D581">
        <f>YEAR(Table1[[#This Row],[Order_Date]])</f>
        <v>2025</v>
      </c>
      <c r="E581" t="s">
        <v>63</v>
      </c>
      <c r="F581" t="s">
        <v>64</v>
      </c>
      <c r="G581" t="s">
        <v>70</v>
      </c>
      <c r="H581" t="s">
        <v>1515</v>
      </c>
      <c r="I581" t="s">
        <v>82</v>
      </c>
      <c r="J581" t="s">
        <v>83</v>
      </c>
      <c r="K581">
        <v>7</v>
      </c>
      <c r="L581">
        <v>16822</v>
      </c>
      <c r="M581">
        <v>13842</v>
      </c>
      <c r="N581">
        <v>2980</v>
      </c>
      <c r="O581" s="6">
        <f>Table1[[#This Row],[Profit]]/Table1[[#This Row],[Sales_Amount]]</f>
        <v>0.1771489715848294</v>
      </c>
      <c r="P581" t="s">
        <v>121</v>
      </c>
    </row>
    <row r="582" spans="1:16" x14ac:dyDescent="0.35">
      <c r="A582" t="s">
        <v>1516</v>
      </c>
      <c r="B582" t="s">
        <v>1517</v>
      </c>
      <c r="C582" t="str">
        <f>TEXT(Table1[[#This Row],[Order_Date]],"mmm")</f>
        <v>Jan</v>
      </c>
      <c r="D582">
        <f>YEAR(Table1[[#This Row],[Order_Date]])</f>
        <v>2025</v>
      </c>
      <c r="E582" t="s">
        <v>63</v>
      </c>
      <c r="F582" t="s">
        <v>64</v>
      </c>
      <c r="G582" t="s">
        <v>138</v>
      </c>
      <c r="H582" t="s">
        <v>1518</v>
      </c>
      <c r="I582" t="s">
        <v>143</v>
      </c>
      <c r="J582" t="s">
        <v>51</v>
      </c>
      <c r="K582">
        <v>20</v>
      </c>
      <c r="L582">
        <v>100196</v>
      </c>
      <c r="M582">
        <v>48435</v>
      </c>
      <c r="N582">
        <v>51761</v>
      </c>
      <c r="O582" s="6">
        <f>Table1[[#This Row],[Profit]]/Table1[[#This Row],[Sales_Amount]]</f>
        <v>0.5165974689608368</v>
      </c>
      <c r="P582" t="s">
        <v>121</v>
      </c>
    </row>
    <row r="583" spans="1:16" x14ac:dyDescent="0.35">
      <c r="A583" t="s">
        <v>1519</v>
      </c>
      <c r="B583" t="s">
        <v>610</v>
      </c>
      <c r="C583" t="str">
        <f>TEXT(Table1[[#This Row],[Order_Date]],"mmm")</f>
        <v>Feb</v>
      </c>
      <c r="D583">
        <f>YEAR(Table1[[#This Row],[Order_Date]])</f>
        <v>2025</v>
      </c>
      <c r="E583" t="s">
        <v>46</v>
      </c>
      <c r="F583" t="s">
        <v>74</v>
      </c>
      <c r="G583" t="s">
        <v>138</v>
      </c>
      <c r="H583" t="s">
        <v>1520</v>
      </c>
      <c r="I583" t="s">
        <v>67</v>
      </c>
      <c r="J583" t="s">
        <v>51</v>
      </c>
      <c r="K583">
        <v>11</v>
      </c>
      <c r="L583">
        <v>94614</v>
      </c>
      <c r="M583">
        <v>42603</v>
      </c>
      <c r="N583">
        <v>52011</v>
      </c>
      <c r="O583" s="6">
        <f>Table1[[#This Row],[Profit]]/Table1[[#This Row],[Sales_Amount]]</f>
        <v>0.54971780074830368</v>
      </c>
      <c r="P583" t="s">
        <v>121</v>
      </c>
    </row>
    <row r="584" spans="1:16" x14ac:dyDescent="0.35">
      <c r="A584" t="s">
        <v>1521</v>
      </c>
      <c r="B584" t="s">
        <v>937</v>
      </c>
      <c r="C584" t="str">
        <f>TEXT(Table1[[#This Row],[Order_Date]],"mmm")</f>
        <v>Oct</v>
      </c>
      <c r="D584">
        <f>YEAR(Table1[[#This Row],[Order_Date]])</f>
        <v>2025</v>
      </c>
      <c r="E584" t="s">
        <v>63</v>
      </c>
      <c r="F584" t="s">
        <v>104</v>
      </c>
      <c r="G584" t="s">
        <v>48</v>
      </c>
      <c r="H584" t="s">
        <v>1522</v>
      </c>
      <c r="I584" t="s">
        <v>76</v>
      </c>
      <c r="J584" t="s">
        <v>77</v>
      </c>
      <c r="K584">
        <v>1</v>
      </c>
      <c r="L584">
        <v>84721</v>
      </c>
      <c r="M584">
        <v>60077</v>
      </c>
      <c r="N584">
        <v>24644</v>
      </c>
      <c r="O584" s="6">
        <f>Table1[[#This Row],[Profit]]/Table1[[#This Row],[Sales_Amount]]</f>
        <v>0.29088419636217705</v>
      </c>
      <c r="P584" t="s">
        <v>121</v>
      </c>
    </row>
    <row r="585" spans="1:16" x14ac:dyDescent="0.35">
      <c r="A585" t="s">
        <v>1523</v>
      </c>
      <c r="B585" t="s">
        <v>875</v>
      </c>
      <c r="C585" t="str">
        <f>TEXT(Table1[[#This Row],[Order_Date]],"mmm")</f>
        <v>Sep</v>
      </c>
      <c r="D585">
        <f>YEAR(Table1[[#This Row],[Order_Date]])</f>
        <v>2025</v>
      </c>
      <c r="E585" t="s">
        <v>63</v>
      </c>
      <c r="F585" t="s">
        <v>64</v>
      </c>
      <c r="G585" t="s">
        <v>138</v>
      </c>
      <c r="H585" t="s">
        <v>1468</v>
      </c>
      <c r="I585" t="s">
        <v>125</v>
      </c>
      <c r="J585" t="s">
        <v>83</v>
      </c>
      <c r="K585">
        <v>17</v>
      </c>
      <c r="L585">
        <v>29526</v>
      </c>
      <c r="M585">
        <v>15148</v>
      </c>
      <c r="N585">
        <v>14378</v>
      </c>
      <c r="O585" s="6">
        <f>Table1[[#This Row],[Profit]]/Table1[[#This Row],[Sales_Amount]]</f>
        <v>0.48696064485538171</v>
      </c>
      <c r="P585" t="s">
        <v>52</v>
      </c>
    </row>
    <row r="586" spans="1:16" x14ac:dyDescent="0.35">
      <c r="A586" t="s">
        <v>1524</v>
      </c>
      <c r="B586" t="s">
        <v>1525</v>
      </c>
      <c r="C586" t="str">
        <f>TEXT(Table1[[#This Row],[Order_Date]],"mmm")</f>
        <v>Jan</v>
      </c>
      <c r="D586">
        <f>YEAR(Table1[[#This Row],[Order_Date]])</f>
        <v>2025</v>
      </c>
      <c r="E586" t="s">
        <v>111</v>
      </c>
      <c r="F586" t="s">
        <v>169</v>
      </c>
      <c r="G586" t="s">
        <v>80</v>
      </c>
      <c r="H586" t="s">
        <v>1526</v>
      </c>
      <c r="I586" t="s">
        <v>76</v>
      </c>
      <c r="J586" t="s">
        <v>77</v>
      </c>
      <c r="K586">
        <v>10</v>
      </c>
      <c r="L586">
        <v>114578</v>
      </c>
      <c r="M586">
        <v>81799</v>
      </c>
      <c r="N586">
        <v>32779</v>
      </c>
      <c r="O586" s="6">
        <f>Table1[[#This Row],[Profit]]/Table1[[#This Row],[Sales_Amount]]</f>
        <v>0.28608458866449055</v>
      </c>
      <c r="P586" t="s">
        <v>52</v>
      </c>
    </row>
    <row r="587" spans="1:16" x14ac:dyDescent="0.35">
      <c r="A587" t="s">
        <v>1527</v>
      </c>
      <c r="B587" t="s">
        <v>246</v>
      </c>
      <c r="C587" t="str">
        <f>TEXT(Table1[[#This Row],[Order_Date]],"mmm")</f>
        <v>Nov</v>
      </c>
      <c r="D587">
        <f>YEAR(Table1[[#This Row],[Order_Date]])</f>
        <v>2025</v>
      </c>
      <c r="E587" t="s">
        <v>46</v>
      </c>
      <c r="F587" t="s">
        <v>47</v>
      </c>
      <c r="G587" t="s">
        <v>70</v>
      </c>
      <c r="H587" t="s">
        <v>1528</v>
      </c>
      <c r="I587" t="s">
        <v>67</v>
      </c>
      <c r="J587" t="s">
        <v>51</v>
      </c>
      <c r="K587">
        <v>17</v>
      </c>
      <c r="L587">
        <v>85258</v>
      </c>
      <c r="M587">
        <v>70883</v>
      </c>
      <c r="N587">
        <v>14375</v>
      </c>
      <c r="O587" s="6">
        <f>Table1[[#This Row],[Profit]]/Table1[[#This Row],[Sales_Amount]]</f>
        <v>0.16860587862722559</v>
      </c>
      <c r="P587" t="s">
        <v>98</v>
      </c>
    </row>
    <row r="588" spans="1:16" x14ac:dyDescent="0.35">
      <c r="A588" t="s">
        <v>1529</v>
      </c>
      <c r="B588" t="s">
        <v>360</v>
      </c>
      <c r="C588" t="str">
        <f>TEXT(Table1[[#This Row],[Order_Date]],"mmm")</f>
        <v>Apr</v>
      </c>
      <c r="D588">
        <f>YEAR(Table1[[#This Row],[Order_Date]])</f>
        <v>2025</v>
      </c>
      <c r="E588" t="s">
        <v>46</v>
      </c>
      <c r="F588" t="s">
        <v>47</v>
      </c>
      <c r="G588" t="s">
        <v>80</v>
      </c>
      <c r="H588" t="s">
        <v>1530</v>
      </c>
      <c r="I588" t="s">
        <v>143</v>
      </c>
      <c r="J588" t="s">
        <v>51</v>
      </c>
      <c r="K588">
        <v>19</v>
      </c>
      <c r="L588">
        <v>119804</v>
      </c>
      <c r="M588">
        <v>61643</v>
      </c>
      <c r="N588">
        <v>58161</v>
      </c>
      <c r="O588" s="6">
        <f>Table1[[#This Row],[Profit]]/Table1[[#This Row],[Sales_Amount]]</f>
        <v>0.48546793095389135</v>
      </c>
      <c r="P588" t="s">
        <v>121</v>
      </c>
    </row>
    <row r="589" spans="1:16" x14ac:dyDescent="0.35">
      <c r="A589" t="s">
        <v>1531</v>
      </c>
      <c r="B589" t="s">
        <v>1532</v>
      </c>
      <c r="C589" t="str">
        <f>TEXT(Table1[[#This Row],[Order_Date]],"mmm")</f>
        <v>Jul</v>
      </c>
      <c r="D589">
        <f>YEAR(Table1[[#This Row],[Order_Date]])</f>
        <v>2025</v>
      </c>
      <c r="E589" t="s">
        <v>63</v>
      </c>
      <c r="F589" t="s">
        <v>104</v>
      </c>
      <c r="G589" t="s">
        <v>65</v>
      </c>
      <c r="H589" t="s">
        <v>1533</v>
      </c>
      <c r="I589" t="s">
        <v>143</v>
      </c>
      <c r="J589" t="s">
        <v>51</v>
      </c>
      <c r="K589">
        <v>3</v>
      </c>
      <c r="L589">
        <v>114404</v>
      </c>
      <c r="M589">
        <v>72517</v>
      </c>
      <c r="N589">
        <v>41887</v>
      </c>
      <c r="O589" s="6">
        <f>Table1[[#This Row],[Profit]]/Table1[[#This Row],[Sales_Amount]]</f>
        <v>0.36613230306632633</v>
      </c>
      <c r="P589" t="s">
        <v>60</v>
      </c>
    </row>
    <row r="590" spans="1:16" x14ac:dyDescent="0.35">
      <c r="A590" t="s">
        <v>1534</v>
      </c>
      <c r="B590" t="s">
        <v>177</v>
      </c>
      <c r="C590" t="str">
        <f>TEXT(Table1[[#This Row],[Order_Date]],"mmm")</f>
        <v>Nov</v>
      </c>
      <c r="D590">
        <f>YEAR(Table1[[#This Row],[Order_Date]])</f>
        <v>2025</v>
      </c>
      <c r="E590" t="s">
        <v>63</v>
      </c>
      <c r="F590" t="s">
        <v>64</v>
      </c>
      <c r="G590" t="s">
        <v>48</v>
      </c>
      <c r="H590" t="s">
        <v>1535</v>
      </c>
      <c r="I590" t="s">
        <v>143</v>
      </c>
      <c r="J590" t="s">
        <v>51</v>
      </c>
      <c r="K590">
        <v>20</v>
      </c>
      <c r="L590">
        <v>6498</v>
      </c>
      <c r="M590">
        <v>3972</v>
      </c>
      <c r="N590">
        <v>2526</v>
      </c>
      <c r="O590" s="6">
        <f>Table1[[#This Row],[Profit]]/Table1[[#This Row],[Sales_Amount]]</f>
        <v>0.38873499538319484</v>
      </c>
      <c r="P590" t="s">
        <v>52</v>
      </c>
    </row>
    <row r="591" spans="1:16" x14ac:dyDescent="0.35">
      <c r="A591" t="s">
        <v>1536</v>
      </c>
      <c r="B591" t="s">
        <v>831</v>
      </c>
      <c r="C591" t="str">
        <f>TEXT(Table1[[#This Row],[Order_Date]],"mmm")</f>
        <v>Apr</v>
      </c>
      <c r="D591">
        <f>YEAR(Table1[[#This Row],[Order_Date]])</f>
        <v>2025</v>
      </c>
      <c r="E591" t="s">
        <v>55</v>
      </c>
      <c r="F591" t="s">
        <v>188</v>
      </c>
      <c r="G591" t="s">
        <v>80</v>
      </c>
      <c r="H591" t="s">
        <v>1537</v>
      </c>
      <c r="I591" t="s">
        <v>82</v>
      </c>
      <c r="J591" t="s">
        <v>83</v>
      </c>
      <c r="K591">
        <v>18</v>
      </c>
      <c r="L591">
        <v>79352</v>
      </c>
      <c r="M591">
        <v>62587</v>
      </c>
      <c r="N591">
        <v>16765</v>
      </c>
      <c r="O591" s="6">
        <f>Table1[[#This Row],[Profit]]/Table1[[#This Row],[Sales_Amount]]</f>
        <v>0.21127381792519406</v>
      </c>
      <c r="P591" t="s">
        <v>60</v>
      </c>
    </row>
    <row r="592" spans="1:16" x14ac:dyDescent="0.35">
      <c r="A592" t="s">
        <v>1538</v>
      </c>
      <c r="B592" t="s">
        <v>262</v>
      </c>
      <c r="C592" t="str">
        <f>TEXT(Table1[[#This Row],[Order_Date]],"mmm")</f>
        <v>Mar</v>
      </c>
      <c r="D592">
        <f>YEAR(Table1[[#This Row],[Order_Date]])</f>
        <v>2025</v>
      </c>
      <c r="E592" t="s">
        <v>46</v>
      </c>
      <c r="F592" t="s">
        <v>74</v>
      </c>
      <c r="G592" t="s">
        <v>70</v>
      </c>
      <c r="H592" t="s">
        <v>1539</v>
      </c>
      <c r="I592" t="s">
        <v>156</v>
      </c>
      <c r="J592" t="s">
        <v>157</v>
      </c>
      <c r="K592">
        <v>11</v>
      </c>
      <c r="L592">
        <v>34427</v>
      </c>
      <c r="M592">
        <v>20112</v>
      </c>
      <c r="N592">
        <v>14315</v>
      </c>
      <c r="O592" s="6">
        <f>Table1[[#This Row],[Profit]]/Table1[[#This Row],[Sales_Amount]]</f>
        <v>0.41580736050193162</v>
      </c>
      <c r="P592" t="s">
        <v>98</v>
      </c>
    </row>
    <row r="593" spans="1:16" x14ac:dyDescent="0.35">
      <c r="A593" t="s">
        <v>1540</v>
      </c>
      <c r="B593" t="s">
        <v>901</v>
      </c>
      <c r="C593" t="str">
        <f>TEXT(Table1[[#This Row],[Order_Date]],"mmm")</f>
        <v>Nov</v>
      </c>
      <c r="D593">
        <f>YEAR(Table1[[#This Row],[Order_Date]])</f>
        <v>2025</v>
      </c>
      <c r="E593" t="s">
        <v>46</v>
      </c>
      <c r="F593" t="s">
        <v>47</v>
      </c>
      <c r="G593" t="s">
        <v>65</v>
      </c>
      <c r="H593" t="s">
        <v>1541</v>
      </c>
      <c r="I593" t="s">
        <v>87</v>
      </c>
      <c r="J593" t="s">
        <v>88</v>
      </c>
      <c r="K593">
        <v>22</v>
      </c>
      <c r="L593">
        <v>77460</v>
      </c>
      <c r="M593">
        <v>53486</v>
      </c>
      <c r="N593">
        <v>23974</v>
      </c>
      <c r="O593" s="6">
        <f>Table1[[#This Row],[Profit]]/Table1[[#This Row],[Sales_Amount]]</f>
        <v>0.30950167828556674</v>
      </c>
      <c r="P593" t="s">
        <v>98</v>
      </c>
    </row>
    <row r="594" spans="1:16" x14ac:dyDescent="0.35">
      <c r="A594" t="s">
        <v>1542</v>
      </c>
      <c r="B594" t="s">
        <v>875</v>
      </c>
      <c r="C594" t="str">
        <f>TEXT(Table1[[#This Row],[Order_Date]],"mmm")</f>
        <v>Sep</v>
      </c>
      <c r="D594">
        <f>YEAR(Table1[[#This Row],[Order_Date]])</f>
        <v>2025</v>
      </c>
      <c r="E594" t="s">
        <v>55</v>
      </c>
      <c r="F594" t="s">
        <v>188</v>
      </c>
      <c r="G594" t="s">
        <v>116</v>
      </c>
      <c r="H594" t="s">
        <v>1543</v>
      </c>
      <c r="I594" t="s">
        <v>125</v>
      </c>
      <c r="J594" t="s">
        <v>83</v>
      </c>
      <c r="K594">
        <v>19</v>
      </c>
      <c r="L594">
        <v>89788</v>
      </c>
      <c r="M594">
        <v>58243</v>
      </c>
      <c r="N594">
        <v>31545</v>
      </c>
      <c r="O594" s="6">
        <f>Table1[[#This Row],[Profit]]/Table1[[#This Row],[Sales_Amount]]</f>
        <v>0.35132757161313316</v>
      </c>
      <c r="P594" t="s">
        <v>121</v>
      </c>
    </row>
    <row r="595" spans="1:16" x14ac:dyDescent="0.35">
      <c r="A595" t="s">
        <v>1544</v>
      </c>
      <c r="B595" t="s">
        <v>597</v>
      </c>
      <c r="C595" t="str">
        <f>TEXT(Table1[[#This Row],[Order_Date]],"mmm")</f>
        <v>Jan</v>
      </c>
      <c r="D595">
        <f>YEAR(Table1[[#This Row],[Order_Date]])</f>
        <v>2025</v>
      </c>
      <c r="E595" t="s">
        <v>111</v>
      </c>
      <c r="F595" t="s">
        <v>169</v>
      </c>
      <c r="G595" t="s">
        <v>48</v>
      </c>
      <c r="H595" t="s">
        <v>1545</v>
      </c>
      <c r="I595" t="s">
        <v>50</v>
      </c>
      <c r="J595" t="s">
        <v>51</v>
      </c>
      <c r="K595">
        <v>9</v>
      </c>
      <c r="L595">
        <v>60828</v>
      </c>
      <c r="M595">
        <v>28037</v>
      </c>
      <c r="N595">
        <v>32791</v>
      </c>
      <c r="O595" s="6">
        <f>Table1[[#This Row],[Profit]]/Table1[[#This Row],[Sales_Amount]]</f>
        <v>0.53907739856644965</v>
      </c>
      <c r="P595" t="s">
        <v>121</v>
      </c>
    </row>
    <row r="596" spans="1:16" x14ac:dyDescent="0.35">
      <c r="A596" t="s">
        <v>1546</v>
      </c>
      <c r="B596" t="s">
        <v>1048</v>
      </c>
      <c r="C596" t="str">
        <f>TEXT(Table1[[#This Row],[Order_Date]],"mmm")</f>
        <v>Nov</v>
      </c>
      <c r="D596">
        <f>YEAR(Table1[[#This Row],[Order_Date]])</f>
        <v>2025</v>
      </c>
      <c r="E596" t="s">
        <v>111</v>
      </c>
      <c r="F596" t="s">
        <v>169</v>
      </c>
      <c r="G596" t="s">
        <v>70</v>
      </c>
      <c r="H596" t="s">
        <v>1547</v>
      </c>
      <c r="I596" t="s">
        <v>50</v>
      </c>
      <c r="J596" t="s">
        <v>51</v>
      </c>
      <c r="K596">
        <v>23</v>
      </c>
      <c r="L596">
        <v>73838</v>
      </c>
      <c r="M596">
        <v>45144</v>
      </c>
      <c r="N596">
        <v>28694</v>
      </c>
      <c r="O596" s="6">
        <f>Table1[[#This Row],[Profit]]/Table1[[#This Row],[Sales_Amount]]</f>
        <v>0.38860749207725021</v>
      </c>
      <c r="P596" t="s">
        <v>52</v>
      </c>
    </row>
    <row r="597" spans="1:16" x14ac:dyDescent="0.35">
      <c r="A597" t="s">
        <v>1548</v>
      </c>
      <c r="B597" t="s">
        <v>376</v>
      </c>
      <c r="C597" t="str">
        <f>TEXT(Table1[[#This Row],[Order_Date]],"mmm")</f>
        <v>Dec</v>
      </c>
      <c r="D597">
        <f>YEAR(Table1[[#This Row],[Order_Date]])</f>
        <v>2025</v>
      </c>
      <c r="E597" t="s">
        <v>111</v>
      </c>
      <c r="F597" t="s">
        <v>112</v>
      </c>
      <c r="G597" t="s">
        <v>48</v>
      </c>
      <c r="H597" t="s">
        <v>1549</v>
      </c>
      <c r="I597" t="s">
        <v>76</v>
      </c>
      <c r="J597" t="s">
        <v>77</v>
      </c>
      <c r="K597">
        <v>16</v>
      </c>
      <c r="L597">
        <v>8914</v>
      </c>
      <c r="M597">
        <v>4900</v>
      </c>
      <c r="N597">
        <v>4014</v>
      </c>
      <c r="O597" s="6">
        <f>Table1[[#This Row],[Profit]]/Table1[[#This Row],[Sales_Amount]]</f>
        <v>0.45030289432353598</v>
      </c>
      <c r="P597" t="s">
        <v>98</v>
      </c>
    </row>
    <row r="598" spans="1:16" x14ac:dyDescent="0.35">
      <c r="A598" t="s">
        <v>1550</v>
      </c>
      <c r="B598" t="s">
        <v>1127</v>
      </c>
      <c r="C598" t="str">
        <f>TEXT(Table1[[#This Row],[Order_Date]],"mmm")</f>
        <v>Nov</v>
      </c>
      <c r="D598">
        <f>YEAR(Table1[[#This Row],[Order_Date]])</f>
        <v>2025</v>
      </c>
      <c r="E598" t="s">
        <v>111</v>
      </c>
      <c r="F598" t="s">
        <v>169</v>
      </c>
      <c r="G598" t="s">
        <v>48</v>
      </c>
      <c r="H598" t="s">
        <v>1551</v>
      </c>
      <c r="I598" t="s">
        <v>87</v>
      </c>
      <c r="J598" t="s">
        <v>88</v>
      </c>
      <c r="K598">
        <v>8</v>
      </c>
      <c r="L598">
        <v>119508</v>
      </c>
      <c r="M598">
        <v>55409</v>
      </c>
      <c r="N598">
        <v>64099</v>
      </c>
      <c r="O598" s="6">
        <f>Table1[[#This Row],[Profit]]/Table1[[#This Row],[Sales_Amount]]</f>
        <v>0.53635739866787158</v>
      </c>
      <c r="P598" t="s">
        <v>60</v>
      </c>
    </row>
    <row r="599" spans="1:16" x14ac:dyDescent="0.35">
      <c r="A599" t="s">
        <v>1552</v>
      </c>
      <c r="B599" t="s">
        <v>751</v>
      </c>
      <c r="C599" t="str">
        <f>TEXT(Table1[[#This Row],[Order_Date]],"mmm")</f>
        <v>Jan</v>
      </c>
      <c r="D599">
        <f>YEAR(Table1[[#This Row],[Order_Date]])</f>
        <v>2025</v>
      </c>
      <c r="E599" t="s">
        <v>55</v>
      </c>
      <c r="F599" t="s">
        <v>188</v>
      </c>
      <c r="G599" t="s">
        <v>138</v>
      </c>
      <c r="H599" t="s">
        <v>1553</v>
      </c>
      <c r="I599" t="s">
        <v>67</v>
      </c>
      <c r="J599" t="s">
        <v>51</v>
      </c>
      <c r="K599">
        <v>11</v>
      </c>
      <c r="L599">
        <v>23414</v>
      </c>
      <c r="M599">
        <v>18275</v>
      </c>
      <c r="N599">
        <v>5139</v>
      </c>
      <c r="O599" s="6">
        <f>Table1[[#This Row],[Profit]]/Table1[[#This Row],[Sales_Amount]]</f>
        <v>0.21948406936021184</v>
      </c>
      <c r="P599" t="s">
        <v>52</v>
      </c>
    </row>
    <row r="600" spans="1:16" x14ac:dyDescent="0.35">
      <c r="A600" t="s">
        <v>1554</v>
      </c>
      <c r="B600" t="s">
        <v>746</v>
      </c>
      <c r="C600" t="str">
        <f>TEXT(Table1[[#This Row],[Order_Date]],"mmm")</f>
        <v>Sep</v>
      </c>
      <c r="D600">
        <f>YEAR(Table1[[#This Row],[Order_Date]])</f>
        <v>2025</v>
      </c>
      <c r="E600" t="s">
        <v>55</v>
      </c>
      <c r="F600" t="s">
        <v>188</v>
      </c>
      <c r="G600" t="s">
        <v>70</v>
      </c>
      <c r="H600" t="s">
        <v>1555</v>
      </c>
      <c r="I600" t="s">
        <v>82</v>
      </c>
      <c r="J600" t="s">
        <v>83</v>
      </c>
      <c r="K600">
        <v>10</v>
      </c>
      <c r="L600">
        <v>87372</v>
      </c>
      <c r="M600">
        <v>63286</v>
      </c>
      <c r="N600">
        <v>24086</v>
      </c>
      <c r="O600" s="6">
        <f>Table1[[#This Row],[Profit]]/Table1[[#This Row],[Sales_Amount]]</f>
        <v>0.27567183994872502</v>
      </c>
      <c r="P600" t="s">
        <v>52</v>
      </c>
    </row>
    <row r="601" spans="1:16" x14ac:dyDescent="0.35">
      <c r="A601" t="s">
        <v>1556</v>
      </c>
      <c r="B601" t="s">
        <v>1032</v>
      </c>
      <c r="C601" t="str">
        <f>TEXT(Table1[[#This Row],[Order_Date]],"mmm")</f>
        <v>Oct</v>
      </c>
      <c r="D601">
        <f>YEAR(Table1[[#This Row],[Order_Date]])</f>
        <v>2025</v>
      </c>
      <c r="E601" t="s">
        <v>46</v>
      </c>
      <c r="F601" t="s">
        <v>74</v>
      </c>
      <c r="G601" t="s">
        <v>138</v>
      </c>
      <c r="H601" t="s">
        <v>1557</v>
      </c>
      <c r="I601" t="s">
        <v>67</v>
      </c>
      <c r="J601" t="s">
        <v>51</v>
      </c>
      <c r="K601">
        <v>17</v>
      </c>
      <c r="L601">
        <v>49393</v>
      </c>
      <c r="M601">
        <v>23563</v>
      </c>
      <c r="N601">
        <v>25830</v>
      </c>
      <c r="O601" s="6">
        <f>Table1[[#This Row],[Profit]]/Table1[[#This Row],[Sales_Amount]]</f>
        <v>0.5229485959548924</v>
      </c>
      <c r="P601" t="s">
        <v>98</v>
      </c>
    </row>
    <row r="602" spans="1:16" x14ac:dyDescent="0.35">
      <c r="A602" t="s">
        <v>1558</v>
      </c>
      <c r="B602" t="s">
        <v>868</v>
      </c>
      <c r="C602" t="str">
        <f>TEXT(Table1[[#This Row],[Order_Date]],"mmm")</f>
        <v>Jun</v>
      </c>
      <c r="D602">
        <f>YEAR(Table1[[#This Row],[Order_Date]])</f>
        <v>2025</v>
      </c>
      <c r="E602" t="s">
        <v>55</v>
      </c>
      <c r="F602" t="s">
        <v>188</v>
      </c>
      <c r="G602" t="s">
        <v>116</v>
      </c>
      <c r="H602" t="s">
        <v>611</v>
      </c>
      <c r="I602" t="s">
        <v>87</v>
      </c>
      <c r="J602" t="s">
        <v>88</v>
      </c>
      <c r="K602">
        <v>11</v>
      </c>
      <c r="L602">
        <v>62380</v>
      </c>
      <c r="M602">
        <v>42587</v>
      </c>
      <c r="N602">
        <v>19793</v>
      </c>
      <c r="O602" s="6">
        <f>Table1[[#This Row],[Profit]]/Table1[[#This Row],[Sales_Amount]]</f>
        <v>0.31729721064443733</v>
      </c>
      <c r="P602" t="s">
        <v>98</v>
      </c>
    </row>
    <row r="603" spans="1:16" x14ac:dyDescent="0.35">
      <c r="A603" t="s">
        <v>1559</v>
      </c>
      <c r="B603" t="s">
        <v>321</v>
      </c>
      <c r="C603" t="str">
        <f>TEXT(Table1[[#This Row],[Order_Date]],"mmm")</f>
        <v>Dec</v>
      </c>
      <c r="D603">
        <f>YEAR(Table1[[#This Row],[Order_Date]])</f>
        <v>2025</v>
      </c>
      <c r="E603" t="s">
        <v>63</v>
      </c>
      <c r="F603" t="s">
        <v>64</v>
      </c>
      <c r="G603" t="s">
        <v>48</v>
      </c>
      <c r="H603" t="s">
        <v>1560</v>
      </c>
      <c r="I603" t="s">
        <v>156</v>
      </c>
      <c r="J603" t="s">
        <v>157</v>
      </c>
      <c r="K603">
        <v>24</v>
      </c>
      <c r="L603">
        <v>98858</v>
      </c>
      <c r="M603">
        <v>59504</v>
      </c>
      <c r="N603">
        <v>39354</v>
      </c>
      <c r="O603" s="6">
        <f>Table1[[#This Row],[Profit]]/Table1[[#This Row],[Sales_Amount]]</f>
        <v>0.39808614376175927</v>
      </c>
      <c r="P603" t="s">
        <v>121</v>
      </c>
    </row>
    <row r="604" spans="1:16" x14ac:dyDescent="0.35">
      <c r="A604" t="s">
        <v>1561</v>
      </c>
      <c r="B604" t="s">
        <v>145</v>
      </c>
      <c r="C604" t="str">
        <f>TEXT(Table1[[#This Row],[Order_Date]],"mmm")</f>
        <v>Aug</v>
      </c>
      <c r="D604">
        <f>YEAR(Table1[[#This Row],[Order_Date]])</f>
        <v>2025</v>
      </c>
      <c r="E604" t="s">
        <v>46</v>
      </c>
      <c r="F604" t="s">
        <v>74</v>
      </c>
      <c r="G604" t="s">
        <v>138</v>
      </c>
      <c r="H604" t="s">
        <v>1562</v>
      </c>
      <c r="I604" t="s">
        <v>156</v>
      </c>
      <c r="J604" t="s">
        <v>157</v>
      </c>
      <c r="K604">
        <v>15</v>
      </c>
      <c r="L604">
        <v>46609</v>
      </c>
      <c r="M604">
        <v>33600</v>
      </c>
      <c r="N604">
        <v>13009</v>
      </c>
      <c r="O604" s="6">
        <f>Table1[[#This Row],[Profit]]/Table1[[#This Row],[Sales_Amount]]</f>
        <v>0.2791091849213671</v>
      </c>
      <c r="P604" t="s">
        <v>121</v>
      </c>
    </row>
    <row r="605" spans="1:16" x14ac:dyDescent="0.35">
      <c r="A605" t="s">
        <v>1563</v>
      </c>
      <c r="B605" t="s">
        <v>1564</v>
      </c>
      <c r="C605" t="str">
        <f>TEXT(Table1[[#This Row],[Order_Date]],"mmm")</f>
        <v>Oct</v>
      </c>
      <c r="D605">
        <f>YEAR(Table1[[#This Row],[Order_Date]])</f>
        <v>2025</v>
      </c>
      <c r="E605" t="s">
        <v>55</v>
      </c>
      <c r="F605" t="s">
        <v>56</v>
      </c>
      <c r="G605" t="s">
        <v>116</v>
      </c>
      <c r="H605" t="s">
        <v>1565</v>
      </c>
      <c r="I605" t="s">
        <v>143</v>
      </c>
      <c r="J605" t="s">
        <v>51</v>
      </c>
      <c r="K605">
        <v>11</v>
      </c>
      <c r="L605">
        <v>13444</v>
      </c>
      <c r="M605">
        <v>6884</v>
      </c>
      <c r="N605">
        <v>6560</v>
      </c>
      <c r="O605" s="6">
        <f>Table1[[#This Row],[Profit]]/Table1[[#This Row],[Sales_Amount]]</f>
        <v>0.48795001487652484</v>
      </c>
      <c r="P605" t="s">
        <v>98</v>
      </c>
    </row>
    <row r="606" spans="1:16" x14ac:dyDescent="0.35">
      <c r="A606" t="s">
        <v>1566</v>
      </c>
      <c r="B606" t="s">
        <v>333</v>
      </c>
      <c r="C606" t="str">
        <f>TEXT(Table1[[#This Row],[Order_Date]],"mmm")</f>
        <v>Dec</v>
      </c>
      <c r="D606">
        <f>YEAR(Table1[[#This Row],[Order_Date]])</f>
        <v>2025</v>
      </c>
      <c r="E606" t="s">
        <v>63</v>
      </c>
      <c r="F606" t="s">
        <v>64</v>
      </c>
      <c r="G606" t="s">
        <v>65</v>
      </c>
      <c r="H606" t="s">
        <v>1567</v>
      </c>
      <c r="I606" t="s">
        <v>59</v>
      </c>
      <c r="J606" t="s">
        <v>51</v>
      </c>
      <c r="K606">
        <v>13</v>
      </c>
      <c r="L606">
        <v>12822</v>
      </c>
      <c r="M606">
        <v>7560</v>
      </c>
      <c r="N606">
        <v>5262</v>
      </c>
      <c r="O606" s="6">
        <f>Table1[[#This Row],[Profit]]/Table1[[#This Row],[Sales_Amount]]</f>
        <v>0.41038839494618623</v>
      </c>
      <c r="P606" t="s">
        <v>98</v>
      </c>
    </row>
    <row r="607" spans="1:16" x14ac:dyDescent="0.35">
      <c r="A607" t="s">
        <v>1568</v>
      </c>
      <c r="B607" t="s">
        <v>265</v>
      </c>
      <c r="C607" t="str">
        <f>TEXT(Table1[[#This Row],[Order_Date]],"mmm")</f>
        <v>Aug</v>
      </c>
      <c r="D607">
        <f>YEAR(Table1[[#This Row],[Order_Date]])</f>
        <v>2025</v>
      </c>
      <c r="E607" t="s">
        <v>63</v>
      </c>
      <c r="F607" t="s">
        <v>64</v>
      </c>
      <c r="G607" t="s">
        <v>128</v>
      </c>
      <c r="H607" t="s">
        <v>1569</v>
      </c>
      <c r="I607" t="s">
        <v>67</v>
      </c>
      <c r="J607" t="s">
        <v>51</v>
      </c>
      <c r="K607">
        <v>2</v>
      </c>
      <c r="L607">
        <v>74682</v>
      </c>
      <c r="M607">
        <v>42047</v>
      </c>
      <c r="N607">
        <v>32635</v>
      </c>
      <c r="O607" s="6">
        <f>Table1[[#This Row],[Profit]]/Table1[[#This Row],[Sales_Amount]]</f>
        <v>0.43698615462896012</v>
      </c>
      <c r="P607" t="s">
        <v>121</v>
      </c>
    </row>
    <row r="608" spans="1:16" x14ac:dyDescent="0.35">
      <c r="A608" t="s">
        <v>1570</v>
      </c>
      <c r="B608" t="s">
        <v>586</v>
      </c>
      <c r="C608" t="str">
        <f>TEXT(Table1[[#This Row],[Order_Date]],"mmm")</f>
        <v>Dec</v>
      </c>
      <c r="D608">
        <f>YEAR(Table1[[#This Row],[Order_Date]])</f>
        <v>2025</v>
      </c>
      <c r="E608" t="s">
        <v>46</v>
      </c>
      <c r="F608" t="s">
        <v>47</v>
      </c>
      <c r="G608" t="s">
        <v>65</v>
      </c>
      <c r="H608" t="s">
        <v>1571</v>
      </c>
      <c r="I608" t="s">
        <v>50</v>
      </c>
      <c r="J608" t="s">
        <v>51</v>
      </c>
      <c r="K608">
        <v>16</v>
      </c>
      <c r="L608">
        <v>118489</v>
      </c>
      <c r="M608">
        <v>73337</v>
      </c>
      <c r="N608">
        <v>45152</v>
      </c>
      <c r="O608" s="6">
        <f>Table1[[#This Row],[Profit]]/Table1[[#This Row],[Sales_Amount]]</f>
        <v>0.38106490897889256</v>
      </c>
      <c r="P608" t="s">
        <v>121</v>
      </c>
    </row>
    <row r="609" spans="1:16" x14ac:dyDescent="0.35">
      <c r="A609" t="s">
        <v>1572</v>
      </c>
      <c r="B609" t="s">
        <v>310</v>
      </c>
      <c r="C609" t="str">
        <f>TEXT(Table1[[#This Row],[Order_Date]],"mmm")</f>
        <v>Apr</v>
      </c>
      <c r="D609">
        <f>YEAR(Table1[[#This Row],[Order_Date]])</f>
        <v>2025</v>
      </c>
      <c r="E609" t="s">
        <v>55</v>
      </c>
      <c r="F609" t="s">
        <v>188</v>
      </c>
      <c r="G609" t="s">
        <v>80</v>
      </c>
      <c r="H609" t="s">
        <v>1573</v>
      </c>
      <c r="I609" t="s">
        <v>59</v>
      </c>
      <c r="J609" t="s">
        <v>51</v>
      </c>
      <c r="K609">
        <v>4</v>
      </c>
      <c r="L609">
        <v>78015</v>
      </c>
      <c r="M609">
        <v>38037</v>
      </c>
      <c r="N609">
        <v>39978</v>
      </c>
      <c r="O609" s="6">
        <f>Table1[[#This Row],[Profit]]/Table1[[#This Row],[Sales_Amount]]</f>
        <v>0.5124399154008844</v>
      </c>
      <c r="P609" t="s">
        <v>121</v>
      </c>
    </row>
    <row r="610" spans="1:16" x14ac:dyDescent="0.35">
      <c r="A610" t="s">
        <v>1574</v>
      </c>
      <c r="B610" t="s">
        <v>1412</v>
      </c>
      <c r="C610" t="str">
        <f>TEXT(Table1[[#This Row],[Order_Date]],"mmm")</f>
        <v>Sep</v>
      </c>
      <c r="D610">
        <f>YEAR(Table1[[#This Row],[Order_Date]])</f>
        <v>2025</v>
      </c>
      <c r="E610" t="s">
        <v>55</v>
      </c>
      <c r="F610" t="s">
        <v>56</v>
      </c>
      <c r="G610" t="s">
        <v>70</v>
      </c>
      <c r="H610" t="s">
        <v>1575</v>
      </c>
      <c r="I610" t="s">
        <v>82</v>
      </c>
      <c r="J610" t="s">
        <v>83</v>
      </c>
      <c r="K610">
        <v>7</v>
      </c>
      <c r="L610">
        <v>105301</v>
      </c>
      <c r="M610">
        <v>48884</v>
      </c>
      <c r="N610">
        <v>56417</v>
      </c>
      <c r="O610" s="6">
        <f>Table1[[#This Row],[Profit]]/Table1[[#This Row],[Sales_Amount]]</f>
        <v>0.53576889108365544</v>
      </c>
      <c r="P610" t="s">
        <v>121</v>
      </c>
    </row>
    <row r="611" spans="1:16" x14ac:dyDescent="0.35">
      <c r="A611" t="s">
        <v>1576</v>
      </c>
      <c r="B611" t="s">
        <v>1056</v>
      </c>
      <c r="C611" t="str">
        <f>TEXT(Table1[[#This Row],[Order_Date]],"mmm")</f>
        <v>Jun</v>
      </c>
      <c r="D611">
        <f>YEAR(Table1[[#This Row],[Order_Date]])</f>
        <v>2025</v>
      </c>
      <c r="E611" t="s">
        <v>63</v>
      </c>
      <c r="F611" t="s">
        <v>64</v>
      </c>
      <c r="G611" t="s">
        <v>48</v>
      </c>
      <c r="H611" t="s">
        <v>1577</v>
      </c>
      <c r="I611" t="s">
        <v>156</v>
      </c>
      <c r="J611" t="s">
        <v>157</v>
      </c>
      <c r="K611">
        <v>4</v>
      </c>
      <c r="L611">
        <v>107616</v>
      </c>
      <c r="M611">
        <v>59719</v>
      </c>
      <c r="N611">
        <v>47897</v>
      </c>
      <c r="O611" s="6">
        <f>Table1[[#This Row],[Profit]]/Table1[[#This Row],[Sales_Amount]]</f>
        <v>0.44507322331251858</v>
      </c>
      <c r="P611" t="s">
        <v>60</v>
      </c>
    </row>
    <row r="612" spans="1:16" x14ac:dyDescent="0.35">
      <c r="A612" t="s">
        <v>1578</v>
      </c>
      <c r="B612" t="s">
        <v>284</v>
      </c>
      <c r="C612" t="str">
        <f>TEXT(Table1[[#This Row],[Order_Date]],"mmm")</f>
        <v>Dec</v>
      </c>
      <c r="D612">
        <f>YEAR(Table1[[#This Row],[Order_Date]])</f>
        <v>2025</v>
      </c>
      <c r="E612" t="s">
        <v>46</v>
      </c>
      <c r="F612" t="s">
        <v>47</v>
      </c>
      <c r="G612" t="s">
        <v>57</v>
      </c>
      <c r="H612" t="s">
        <v>1579</v>
      </c>
      <c r="I612" t="s">
        <v>143</v>
      </c>
      <c r="J612" t="s">
        <v>51</v>
      </c>
      <c r="K612">
        <v>11</v>
      </c>
      <c r="L612">
        <v>7711</v>
      </c>
      <c r="M612">
        <v>4885</v>
      </c>
      <c r="N612">
        <v>2826</v>
      </c>
      <c r="O612" s="6">
        <f>Table1[[#This Row],[Profit]]/Table1[[#This Row],[Sales_Amount]]</f>
        <v>0.36648943068343925</v>
      </c>
      <c r="P612" t="s">
        <v>121</v>
      </c>
    </row>
    <row r="613" spans="1:16" x14ac:dyDescent="0.35">
      <c r="A613" t="s">
        <v>1580</v>
      </c>
      <c r="B613" t="s">
        <v>388</v>
      </c>
      <c r="C613" t="str">
        <f>TEXT(Table1[[#This Row],[Order_Date]],"mmm")</f>
        <v>Jun</v>
      </c>
      <c r="D613">
        <f>YEAR(Table1[[#This Row],[Order_Date]])</f>
        <v>2025</v>
      </c>
      <c r="E613" t="s">
        <v>55</v>
      </c>
      <c r="F613" t="s">
        <v>56</v>
      </c>
      <c r="G613" t="s">
        <v>70</v>
      </c>
      <c r="H613" t="s">
        <v>501</v>
      </c>
      <c r="I613" t="s">
        <v>87</v>
      </c>
      <c r="J613" t="s">
        <v>88</v>
      </c>
      <c r="K613">
        <v>19</v>
      </c>
      <c r="L613">
        <v>14983</v>
      </c>
      <c r="M613">
        <v>11232</v>
      </c>
      <c r="N613">
        <v>3751</v>
      </c>
      <c r="O613" s="6">
        <f>Table1[[#This Row],[Profit]]/Table1[[#This Row],[Sales_Amount]]</f>
        <v>0.25035039711673229</v>
      </c>
      <c r="P613" t="s">
        <v>98</v>
      </c>
    </row>
    <row r="614" spans="1:16" x14ac:dyDescent="0.35">
      <c r="A614" t="s">
        <v>1581</v>
      </c>
      <c r="B614" t="s">
        <v>162</v>
      </c>
      <c r="C614" t="str">
        <f>TEXT(Table1[[#This Row],[Order_Date]],"mmm")</f>
        <v>Oct</v>
      </c>
      <c r="D614">
        <f>YEAR(Table1[[#This Row],[Order_Date]])</f>
        <v>2025</v>
      </c>
      <c r="E614" t="s">
        <v>46</v>
      </c>
      <c r="F614" t="s">
        <v>47</v>
      </c>
      <c r="G614" t="s">
        <v>80</v>
      </c>
      <c r="H614" t="s">
        <v>1582</v>
      </c>
      <c r="I614" t="s">
        <v>59</v>
      </c>
      <c r="J614" t="s">
        <v>51</v>
      </c>
      <c r="K614">
        <v>19</v>
      </c>
      <c r="L614">
        <v>21271</v>
      </c>
      <c r="M614">
        <v>17235</v>
      </c>
      <c r="N614">
        <v>4036</v>
      </c>
      <c r="O614" s="6">
        <f>Table1[[#This Row],[Profit]]/Table1[[#This Row],[Sales_Amount]]</f>
        <v>0.18974190212025763</v>
      </c>
      <c r="P614" t="s">
        <v>98</v>
      </c>
    </row>
    <row r="615" spans="1:16" x14ac:dyDescent="0.35">
      <c r="A615" t="s">
        <v>1583</v>
      </c>
      <c r="B615" t="s">
        <v>942</v>
      </c>
      <c r="C615" t="str">
        <f>TEXT(Table1[[#This Row],[Order_Date]],"mmm")</f>
        <v>Jul</v>
      </c>
      <c r="D615">
        <f>YEAR(Table1[[#This Row],[Order_Date]])</f>
        <v>2025</v>
      </c>
      <c r="E615" t="s">
        <v>111</v>
      </c>
      <c r="F615" t="s">
        <v>112</v>
      </c>
      <c r="G615" t="s">
        <v>80</v>
      </c>
      <c r="H615" t="s">
        <v>1584</v>
      </c>
      <c r="I615" t="s">
        <v>76</v>
      </c>
      <c r="J615" t="s">
        <v>77</v>
      </c>
      <c r="K615">
        <v>7</v>
      </c>
      <c r="L615">
        <v>19050</v>
      </c>
      <c r="M615">
        <v>13858</v>
      </c>
      <c r="N615">
        <v>5192</v>
      </c>
      <c r="O615" s="6">
        <f>Table1[[#This Row],[Profit]]/Table1[[#This Row],[Sales_Amount]]</f>
        <v>0.2725459317585302</v>
      </c>
      <c r="P615" t="s">
        <v>60</v>
      </c>
    </row>
    <row r="616" spans="1:16" x14ac:dyDescent="0.35">
      <c r="A616" t="s">
        <v>1585</v>
      </c>
      <c r="B616" t="s">
        <v>107</v>
      </c>
      <c r="C616" t="str">
        <f>TEXT(Table1[[#This Row],[Order_Date]],"mmm")</f>
        <v>Sep</v>
      </c>
      <c r="D616">
        <f>YEAR(Table1[[#This Row],[Order_Date]])</f>
        <v>2025</v>
      </c>
      <c r="E616" t="s">
        <v>55</v>
      </c>
      <c r="F616" t="s">
        <v>56</v>
      </c>
      <c r="G616" t="s">
        <v>57</v>
      </c>
      <c r="H616" t="s">
        <v>1586</v>
      </c>
      <c r="I616" t="s">
        <v>156</v>
      </c>
      <c r="J616" t="s">
        <v>157</v>
      </c>
      <c r="K616">
        <v>13</v>
      </c>
      <c r="L616">
        <v>105800</v>
      </c>
      <c r="M616">
        <v>48111</v>
      </c>
      <c r="N616">
        <v>57689</v>
      </c>
      <c r="O616" s="6">
        <f>Table1[[#This Row],[Profit]]/Table1[[#This Row],[Sales_Amount]]</f>
        <v>0.54526465028355386</v>
      </c>
      <c r="P616" t="s">
        <v>98</v>
      </c>
    </row>
    <row r="617" spans="1:16" x14ac:dyDescent="0.35">
      <c r="A617" t="s">
        <v>1587</v>
      </c>
      <c r="B617" t="s">
        <v>1081</v>
      </c>
      <c r="C617" t="str">
        <f>TEXT(Table1[[#This Row],[Order_Date]],"mmm")</f>
        <v>Apr</v>
      </c>
      <c r="D617">
        <f>YEAR(Table1[[#This Row],[Order_Date]])</f>
        <v>2025</v>
      </c>
      <c r="E617" t="s">
        <v>111</v>
      </c>
      <c r="F617" t="s">
        <v>169</v>
      </c>
      <c r="G617" t="s">
        <v>48</v>
      </c>
      <c r="H617" t="s">
        <v>1588</v>
      </c>
      <c r="I617" t="s">
        <v>82</v>
      </c>
      <c r="J617" t="s">
        <v>83</v>
      </c>
      <c r="K617">
        <v>11</v>
      </c>
      <c r="L617">
        <v>17138</v>
      </c>
      <c r="M617">
        <v>9558</v>
      </c>
      <c r="N617">
        <v>7580</v>
      </c>
      <c r="O617" s="6">
        <f>Table1[[#This Row],[Profit]]/Table1[[#This Row],[Sales_Amount]]</f>
        <v>0.44229198272843973</v>
      </c>
      <c r="P617" t="s">
        <v>121</v>
      </c>
    </row>
    <row r="618" spans="1:16" x14ac:dyDescent="0.35">
      <c r="A618" t="s">
        <v>1589</v>
      </c>
      <c r="B618" t="s">
        <v>1263</v>
      </c>
      <c r="C618" t="str">
        <f>TEXT(Table1[[#This Row],[Order_Date]],"mmm")</f>
        <v>Aug</v>
      </c>
      <c r="D618">
        <f>YEAR(Table1[[#This Row],[Order_Date]])</f>
        <v>2025</v>
      </c>
      <c r="E618" t="s">
        <v>111</v>
      </c>
      <c r="F618" t="s">
        <v>169</v>
      </c>
      <c r="G618" t="s">
        <v>48</v>
      </c>
      <c r="H618" t="s">
        <v>1590</v>
      </c>
      <c r="I618" t="s">
        <v>82</v>
      </c>
      <c r="J618" t="s">
        <v>83</v>
      </c>
      <c r="K618">
        <v>11</v>
      </c>
      <c r="L618">
        <v>103866</v>
      </c>
      <c r="M618">
        <v>57618</v>
      </c>
      <c r="N618">
        <v>46248</v>
      </c>
      <c r="O618" s="6">
        <f>Table1[[#This Row],[Profit]]/Table1[[#This Row],[Sales_Amount]]</f>
        <v>0.44526601582808617</v>
      </c>
      <c r="P618" t="s">
        <v>98</v>
      </c>
    </row>
    <row r="619" spans="1:16" x14ac:dyDescent="0.35">
      <c r="A619" t="s">
        <v>1591</v>
      </c>
      <c r="B619" t="s">
        <v>1130</v>
      </c>
      <c r="C619" t="str">
        <f>TEXT(Table1[[#This Row],[Order_Date]],"mmm")</f>
        <v>Nov</v>
      </c>
      <c r="D619">
        <f>YEAR(Table1[[#This Row],[Order_Date]])</f>
        <v>2025</v>
      </c>
      <c r="E619" t="s">
        <v>46</v>
      </c>
      <c r="F619" t="s">
        <v>47</v>
      </c>
      <c r="G619" t="s">
        <v>116</v>
      </c>
      <c r="H619" t="s">
        <v>294</v>
      </c>
      <c r="I619" t="s">
        <v>87</v>
      </c>
      <c r="J619" t="s">
        <v>88</v>
      </c>
      <c r="K619">
        <v>5</v>
      </c>
      <c r="L619">
        <v>71233</v>
      </c>
      <c r="M619">
        <v>46940</v>
      </c>
      <c r="N619">
        <v>24293</v>
      </c>
      <c r="O619" s="6">
        <f>Table1[[#This Row],[Profit]]/Table1[[#This Row],[Sales_Amount]]</f>
        <v>0.34103575589965324</v>
      </c>
      <c r="P619" t="s">
        <v>52</v>
      </c>
    </row>
    <row r="620" spans="1:16" x14ac:dyDescent="0.35">
      <c r="A620" t="s">
        <v>1592</v>
      </c>
      <c r="B620" t="s">
        <v>796</v>
      </c>
      <c r="C620" t="str">
        <f>TEXT(Table1[[#This Row],[Order_Date]],"mmm")</f>
        <v>Sep</v>
      </c>
      <c r="D620">
        <f>YEAR(Table1[[#This Row],[Order_Date]])</f>
        <v>2025</v>
      </c>
      <c r="E620" t="s">
        <v>55</v>
      </c>
      <c r="F620" t="s">
        <v>188</v>
      </c>
      <c r="G620" t="s">
        <v>128</v>
      </c>
      <c r="H620" t="s">
        <v>1593</v>
      </c>
      <c r="I620" t="s">
        <v>59</v>
      </c>
      <c r="J620" t="s">
        <v>51</v>
      </c>
      <c r="K620">
        <v>24</v>
      </c>
      <c r="L620">
        <v>94005</v>
      </c>
      <c r="M620">
        <v>61395</v>
      </c>
      <c r="N620">
        <v>32610</v>
      </c>
      <c r="O620" s="6">
        <f>Table1[[#This Row],[Profit]]/Table1[[#This Row],[Sales_Amount]]</f>
        <v>0.34689644167863409</v>
      </c>
      <c r="P620" t="s">
        <v>60</v>
      </c>
    </row>
    <row r="621" spans="1:16" x14ac:dyDescent="0.35">
      <c r="A621" t="s">
        <v>1594</v>
      </c>
      <c r="B621" t="s">
        <v>482</v>
      </c>
      <c r="C621" t="str">
        <f>TEXT(Table1[[#This Row],[Order_Date]],"mmm")</f>
        <v>May</v>
      </c>
      <c r="D621">
        <f>YEAR(Table1[[#This Row],[Order_Date]])</f>
        <v>2025</v>
      </c>
      <c r="E621" t="s">
        <v>63</v>
      </c>
      <c r="F621" t="s">
        <v>64</v>
      </c>
      <c r="G621" t="s">
        <v>70</v>
      </c>
      <c r="H621" t="s">
        <v>1595</v>
      </c>
      <c r="I621" t="s">
        <v>59</v>
      </c>
      <c r="J621" t="s">
        <v>51</v>
      </c>
      <c r="K621">
        <v>1</v>
      </c>
      <c r="L621">
        <v>56200</v>
      </c>
      <c r="M621">
        <v>25596</v>
      </c>
      <c r="N621">
        <v>30604</v>
      </c>
      <c r="O621" s="6">
        <f>Table1[[#This Row],[Profit]]/Table1[[#This Row],[Sales_Amount]]</f>
        <v>0.54455516014234873</v>
      </c>
      <c r="P621" t="s">
        <v>60</v>
      </c>
    </row>
    <row r="622" spans="1:16" x14ac:dyDescent="0.35">
      <c r="A622" t="s">
        <v>1596</v>
      </c>
      <c r="B622" t="s">
        <v>100</v>
      </c>
      <c r="C622" t="str">
        <f>TEXT(Table1[[#This Row],[Order_Date]],"mmm")</f>
        <v>Jul</v>
      </c>
      <c r="D622">
        <f>YEAR(Table1[[#This Row],[Order_Date]])</f>
        <v>2025</v>
      </c>
      <c r="E622" t="s">
        <v>63</v>
      </c>
      <c r="F622" t="s">
        <v>64</v>
      </c>
      <c r="G622" t="s">
        <v>70</v>
      </c>
      <c r="H622" t="s">
        <v>1597</v>
      </c>
      <c r="I622" t="s">
        <v>67</v>
      </c>
      <c r="J622" t="s">
        <v>51</v>
      </c>
      <c r="K622">
        <v>24</v>
      </c>
      <c r="L622">
        <v>83202</v>
      </c>
      <c r="M622">
        <v>57690</v>
      </c>
      <c r="N622">
        <v>25512</v>
      </c>
      <c r="O622" s="6">
        <f>Table1[[#This Row],[Profit]]/Table1[[#This Row],[Sales_Amount]]</f>
        <v>0.30662724453739093</v>
      </c>
      <c r="P622" t="s">
        <v>98</v>
      </c>
    </row>
    <row r="623" spans="1:16" x14ac:dyDescent="0.35">
      <c r="A623" t="s">
        <v>1598</v>
      </c>
      <c r="B623" t="s">
        <v>1445</v>
      </c>
      <c r="C623" t="str">
        <f>TEXT(Table1[[#This Row],[Order_Date]],"mmm")</f>
        <v>Dec</v>
      </c>
      <c r="D623">
        <f>YEAR(Table1[[#This Row],[Order_Date]])</f>
        <v>2025</v>
      </c>
      <c r="E623" t="s">
        <v>46</v>
      </c>
      <c r="F623" t="s">
        <v>74</v>
      </c>
      <c r="G623" t="s">
        <v>80</v>
      </c>
      <c r="H623" t="s">
        <v>1599</v>
      </c>
      <c r="I623" t="s">
        <v>125</v>
      </c>
      <c r="J623" t="s">
        <v>83</v>
      </c>
      <c r="K623">
        <v>15</v>
      </c>
      <c r="L623">
        <v>76780</v>
      </c>
      <c r="M623">
        <v>40657</v>
      </c>
      <c r="N623">
        <v>36123</v>
      </c>
      <c r="O623" s="6">
        <f>Table1[[#This Row],[Profit]]/Table1[[#This Row],[Sales_Amount]]</f>
        <v>0.47047408179213335</v>
      </c>
      <c r="P623" t="s">
        <v>52</v>
      </c>
    </row>
    <row r="624" spans="1:16" x14ac:dyDescent="0.35">
      <c r="A624" t="s">
        <v>1600</v>
      </c>
      <c r="B624" t="s">
        <v>449</v>
      </c>
      <c r="C624" t="str">
        <f>TEXT(Table1[[#This Row],[Order_Date]],"mmm")</f>
        <v>Jan</v>
      </c>
      <c r="D624">
        <f>YEAR(Table1[[#This Row],[Order_Date]])</f>
        <v>2025</v>
      </c>
      <c r="E624" t="s">
        <v>55</v>
      </c>
      <c r="F624" t="s">
        <v>188</v>
      </c>
      <c r="G624" t="s">
        <v>138</v>
      </c>
      <c r="H624" t="s">
        <v>1601</v>
      </c>
      <c r="I624" t="s">
        <v>76</v>
      </c>
      <c r="J624" t="s">
        <v>77</v>
      </c>
      <c r="K624">
        <v>1</v>
      </c>
      <c r="L624">
        <v>81252</v>
      </c>
      <c r="M624">
        <v>57212</v>
      </c>
      <c r="N624">
        <v>24040</v>
      </c>
      <c r="O624" s="6">
        <f>Table1[[#This Row],[Profit]]/Table1[[#This Row],[Sales_Amount]]</f>
        <v>0.29586964013193523</v>
      </c>
      <c r="P624" t="s">
        <v>60</v>
      </c>
    </row>
    <row r="625" spans="1:16" x14ac:dyDescent="0.35">
      <c r="A625" t="s">
        <v>1602</v>
      </c>
      <c r="B625" t="s">
        <v>1603</v>
      </c>
      <c r="C625" t="str">
        <f>TEXT(Table1[[#This Row],[Order_Date]],"mmm")</f>
        <v>May</v>
      </c>
      <c r="D625">
        <f>YEAR(Table1[[#This Row],[Order_Date]])</f>
        <v>2025</v>
      </c>
      <c r="E625" t="s">
        <v>111</v>
      </c>
      <c r="F625" t="s">
        <v>112</v>
      </c>
      <c r="G625" t="s">
        <v>48</v>
      </c>
      <c r="H625" t="s">
        <v>1604</v>
      </c>
      <c r="I625" t="s">
        <v>67</v>
      </c>
      <c r="J625" t="s">
        <v>51</v>
      </c>
      <c r="K625">
        <v>10</v>
      </c>
      <c r="L625">
        <v>51005</v>
      </c>
      <c r="M625">
        <v>23218</v>
      </c>
      <c r="N625">
        <v>27787</v>
      </c>
      <c r="O625" s="6">
        <f>Table1[[#This Row],[Profit]]/Table1[[#This Row],[Sales_Amount]]</f>
        <v>0.5447897264974022</v>
      </c>
      <c r="P625" t="s">
        <v>52</v>
      </c>
    </row>
    <row r="626" spans="1:16" x14ac:dyDescent="0.35">
      <c r="A626" t="s">
        <v>1605</v>
      </c>
      <c r="B626" t="s">
        <v>1171</v>
      </c>
      <c r="C626" t="str">
        <f>TEXT(Table1[[#This Row],[Order_Date]],"mmm")</f>
        <v>Dec</v>
      </c>
      <c r="D626">
        <f>YEAR(Table1[[#This Row],[Order_Date]])</f>
        <v>2025</v>
      </c>
      <c r="E626" t="s">
        <v>111</v>
      </c>
      <c r="F626" t="s">
        <v>169</v>
      </c>
      <c r="G626" t="s">
        <v>116</v>
      </c>
      <c r="H626" t="s">
        <v>1606</v>
      </c>
      <c r="I626" t="s">
        <v>143</v>
      </c>
      <c r="J626" t="s">
        <v>51</v>
      </c>
      <c r="K626">
        <v>12</v>
      </c>
      <c r="L626">
        <v>23934</v>
      </c>
      <c r="M626">
        <v>18747</v>
      </c>
      <c r="N626">
        <v>5187</v>
      </c>
      <c r="O626" s="6">
        <f>Table1[[#This Row],[Profit]]/Table1[[#This Row],[Sales_Amount]]</f>
        <v>0.21672098270243167</v>
      </c>
      <c r="P626" t="s">
        <v>121</v>
      </c>
    </row>
    <row r="627" spans="1:16" x14ac:dyDescent="0.35">
      <c r="A627" t="s">
        <v>1607</v>
      </c>
      <c r="B627" t="s">
        <v>1192</v>
      </c>
      <c r="C627" t="str">
        <f>TEXT(Table1[[#This Row],[Order_Date]],"mmm")</f>
        <v>Feb</v>
      </c>
      <c r="D627">
        <f>YEAR(Table1[[#This Row],[Order_Date]])</f>
        <v>2025</v>
      </c>
      <c r="E627" t="s">
        <v>55</v>
      </c>
      <c r="F627" t="s">
        <v>188</v>
      </c>
      <c r="G627" t="s">
        <v>116</v>
      </c>
      <c r="H627" t="s">
        <v>1608</v>
      </c>
      <c r="I627" t="s">
        <v>156</v>
      </c>
      <c r="J627" t="s">
        <v>157</v>
      </c>
      <c r="K627">
        <v>21</v>
      </c>
      <c r="L627">
        <v>9647</v>
      </c>
      <c r="M627">
        <v>7608</v>
      </c>
      <c r="N627">
        <v>2039</v>
      </c>
      <c r="O627" s="6">
        <f>Table1[[#This Row],[Profit]]/Table1[[#This Row],[Sales_Amount]]</f>
        <v>0.21136104488442004</v>
      </c>
      <c r="P627" t="s">
        <v>60</v>
      </c>
    </row>
    <row r="628" spans="1:16" x14ac:dyDescent="0.35">
      <c r="A628" t="s">
        <v>1609</v>
      </c>
      <c r="B628" t="s">
        <v>1178</v>
      </c>
      <c r="C628" t="str">
        <f>TEXT(Table1[[#This Row],[Order_Date]],"mmm")</f>
        <v>Dec</v>
      </c>
      <c r="D628">
        <f>YEAR(Table1[[#This Row],[Order_Date]])</f>
        <v>2025</v>
      </c>
      <c r="E628" t="s">
        <v>111</v>
      </c>
      <c r="F628" t="s">
        <v>169</v>
      </c>
      <c r="G628" t="s">
        <v>48</v>
      </c>
      <c r="H628" t="s">
        <v>1610</v>
      </c>
      <c r="I628" t="s">
        <v>87</v>
      </c>
      <c r="J628" t="s">
        <v>88</v>
      </c>
      <c r="K628">
        <v>12</v>
      </c>
      <c r="L628">
        <v>4834</v>
      </c>
      <c r="M628">
        <v>2536</v>
      </c>
      <c r="N628">
        <v>2298</v>
      </c>
      <c r="O628" s="6">
        <f>Table1[[#This Row],[Profit]]/Table1[[#This Row],[Sales_Amount]]</f>
        <v>0.47538270583367809</v>
      </c>
      <c r="P628" t="s">
        <v>60</v>
      </c>
    </row>
    <row r="629" spans="1:16" x14ac:dyDescent="0.35">
      <c r="A629" t="s">
        <v>1611</v>
      </c>
      <c r="B629" t="s">
        <v>711</v>
      </c>
      <c r="C629" t="str">
        <f>TEXT(Table1[[#This Row],[Order_Date]],"mmm")</f>
        <v>Sep</v>
      </c>
      <c r="D629">
        <f>YEAR(Table1[[#This Row],[Order_Date]])</f>
        <v>2025</v>
      </c>
      <c r="E629" t="s">
        <v>46</v>
      </c>
      <c r="F629" t="s">
        <v>47</v>
      </c>
      <c r="G629" t="s">
        <v>65</v>
      </c>
      <c r="H629" t="s">
        <v>1612</v>
      </c>
      <c r="I629" t="s">
        <v>82</v>
      </c>
      <c r="J629" t="s">
        <v>83</v>
      </c>
      <c r="K629">
        <v>6</v>
      </c>
      <c r="L629">
        <v>42316</v>
      </c>
      <c r="M629">
        <v>27224</v>
      </c>
      <c r="N629">
        <v>15092</v>
      </c>
      <c r="O629" s="6">
        <f>Table1[[#This Row],[Profit]]/Table1[[#This Row],[Sales_Amount]]</f>
        <v>0.35664996691558748</v>
      </c>
      <c r="P629" t="s">
        <v>60</v>
      </c>
    </row>
    <row r="630" spans="1:16" x14ac:dyDescent="0.35">
      <c r="A630" t="s">
        <v>1613</v>
      </c>
      <c r="B630" t="s">
        <v>162</v>
      </c>
      <c r="C630" t="str">
        <f>TEXT(Table1[[#This Row],[Order_Date]],"mmm")</f>
        <v>Oct</v>
      </c>
      <c r="D630">
        <f>YEAR(Table1[[#This Row],[Order_Date]])</f>
        <v>2025</v>
      </c>
      <c r="E630" t="s">
        <v>55</v>
      </c>
      <c r="F630" t="s">
        <v>188</v>
      </c>
      <c r="G630" t="s">
        <v>138</v>
      </c>
      <c r="H630" t="s">
        <v>1614</v>
      </c>
      <c r="I630" t="s">
        <v>87</v>
      </c>
      <c r="J630" t="s">
        <v>88</v>
      </c>
      <c r="K630">
        <v>15</v>
      </c>
      <c r="L630">
        <v>104552</v>
      </c>
      <c r="M630">
        <v>84162</v>
      </c>
      <c r="N630">
        <v>20390</v>
      </c>
      <c r="O630" s="6">
        <f>Table1[[#This Row],[Profit]]/Table1[[#This Row],[Sales_Amount]]</f>
        <v>0.1950225724998087</v>
      </c>
      <c r="P630" t="s">
        <v>121</v>
      </c>
    </row>
    <row r="631" spans="1:16" x14ac:dyDescent="0.35">
      <c r="A631" t="s">
        <v>1615</v>
      </c>
      <c r="B631" t="s">
        <v>500</v>
      </c>
      <c r="C631" t="str">
        <f>TEXT(Table1[[#This Row],[Order_Date]],"mmm")</f>
        <v>Mar</v>
      </c>
      <c r="D631">
        <f>YEAR(Table1[[#This Row],[Order_Date]])</f>
        <v>2025</v>
      </c>
      <c r="E631" t="s">
        <v>63</v>
      </c>
      <c r="F631" t="s">
        <v>64</v>
      </c>
      <c r="G631" t="s">
        <v>70</v>
      </c>
      <c r="H631" t="s">
        <v>1616</v>
      </c>
      <c r="I631" t="s">
        <v>50</v>
      </c>
      <c r="J631" t="s">
        <v>51</v>
      </c>
      <c r="K631">
        <v>12</v>
      </c>
      <c r="L631">
        <v>30798</v>
      </c>
      <c r="M631">
        <v>18629</v>
      </c>
      <c r="N631">
        <v>12169</v>
      </c>
      <c r="O631" s="6">
        <f>Table1[[#This Row],[Profit]]/Table1[[#This Row],[Sales_Amount]]</f>
        <v>0.39512305993895708</v>
      </c>
      <c r="P631" t="s">
        <v>52</v>
      </c>
    </row>
    <row r="632" spans="1:16" x14ac:dyDescent="0.35">
      <c r="A632" t="s">
        <v>1617</v>
      </c>
      <c r="B632" t="s">
        <v>1225</v>
      </c>
      <c r="C632" t="str">
        <f>TEXT(Table1[[#This Row],[Order_Date]],"mmm")</f>
        <v>Aug</v>
      </c>
      <c r="D632">
        <f>YEAR(Table1[[#This Row],[Order_Date]])</f>
        <v>2025</v>
      </c>
      <c r="E632" t="s">
        <v>63</v>
      </c>
      <c r="F632" t="s">
        <v>104</v>
      </c>
      <c r="G632" t="s">
        <v>70</v>
      </c>
      <c r="H632" t="s">
        <v>1618</v>
      </c>
      <c r="I632" t="s">
        <v>143</v>
      </c>
      <c r="J632" t="s">
        <v>51</v>
      </c>
      <c r="K632">
        <v>23</v>
      </c>
      <c r="L632">
        <v>60023</v>
      </c>
      <c r="M632">
        <v>44176</v>
      </c>
      <c r="N632">
        <v>15847</v>
      </c>
      <c r="O632" s="6">
        <f>Table1[[#This Row],[Profit]]/Table1[[#This Row],[Sales_Amount]]</f>
        <v>0.26401546074004967</v>
      </c>
      <c r="P632" t="s">
        <v>60</v>
      </c>
    </row>
    <row r="633" spans="1:16" x14ac:dyDescent="0.35">
      <c r="A633" t="s">
        <v>1619</v>
      </c>
      <c r="B633" t="s">
        <v>1148</v>
      </c>
      <c r="C633" t="str">
        <f>TEXT(Table1[[#This Row],[Order_Date]],"mmm")</f>
        <v>Aug</v>
      </c>
      <c r="D633">
        <f>YEAR(Table1[[#This Row],[Order_Date]])</f>
        <v>2025</v>
      </c>
      <c r="E633" t="s">
        <v>111</v>
      </c>
      <c r="F633" t="s">
        <v>112</v>
      </c>
      <c r="G633" t="s">
        <v>80</v>
      </c>
      <c r="H633" t="s">
        <v>1620</v>
      </c>
      <c r="I633" t="s">
        <v>125</v>
      </c>
      <c r="J633" t="s">
        <v>83</v>
      </c>
      <c r="K633">
        <v>2</v>
      </c>
      <c r="L633">
        <v>25145</v>
      </c>
      <c r="M633">
        <v>15981</v>
      </c>
      <c r="N633">
        <v>9164</v>
      </c>
      <c r="O633" s="6">
        <f>Table1[[#This Row],[Profit]]/Table1[[#This Row],[Sales_Amount]]</f>
        <v>0.3644462119705707</v>
      </c>
      <c r="P633" t="s">
        <v>60</v>
      </c>
    </row>
    <row r="634" spans="1:16" x14ac:dyDescent="0.35">
      <c r="A634" t="s">
        <v>1621</v>
      </c>
      <c r="B634" t="s">
        <v>1622</v>
      </c>
      <c r="C634" t="str">
        <f>TEXT(Table1[[#This Row],[Order_Date]],"mmm")</f>
        <v>Nov</v>
      </c>
      <c r="D634">
        <f>YEAR(Table1[[#This Row],[Order_Date]])</f>
        <v>2025</v>
      </c>
      <c r="E634" t="s">
        <v>55</v>
      </c>
      <c r="F634" t="s">
        <v>188</v>
      </c>
      <c r="G634" t="s">
        <v>80</v>
      </c>
      <c r="H634" t="s">
        <v>1623</v>
      </c>
      <c r="I634" t="s">
        <v>87</v>
      </c>
      <c r="J634" t="s">
        <v>88</v>
      </c>
      <c r="K634">
        <v>18</v>
      </c>
      <c r="L634">
        <v>109907</v>
      </c>
      <c r="M634">
        <v>92711</v>
      </c>
      <c r="N634">
        <v>17196</v>
      </c>
      <c r="O634" s="6">
        <f>Table1[[#This Row],[Profit]]/Table1[[#This Row],[Sales_Amount]]</f>
        <v>0.15645955216683197</v>
      </c>
      <c r="P634" t="s">
        <v>60</v>
      </c>
    </row>
    <row r="635" spans="1:16" x14ac:dyDescent="0.35">
      <c r="A635" t="s">
        <v>1624</v>
      </c>
      <c r="B635" t="s">
        <v>506</v>
      </c>
      <c r="C635" t="str">
        <f>TEXT(Table1[[#This Row],[Order_Date]],"mmm")</f>
        <v>May</v>
      </c>
      <c r="D635">
        <f>YEAR(Table1[[#This Row],[Order_Date]])</f>
        <v>2025</v>
      </c>
      <c r="E635" t="s">
        <v>55</v>
      </c>
      <c r="F635" t="s">
        <v>188</v>
      </c>
      <c r="G635" t="s">
        <v>48</v>
      </c>
      <c r="H635" t="s">
        <v>598</v>
      </c>
      <c r="I635" t="s">
        <v>87</v>
      </c>
      <c r="J635" t="s">
        <v>88</v>
      </c>
      <c r="K635">
        <v>5</v>
      </c>
      <c r="L635">
        <v>37111</v>
      </c>
      <c r="M635">
        <v>21299</v>
      </c>
      <c r="N635">
        <v>15812</v>
      </c>
      <c r="O635" s="6">
        <f>Table1[[#This Row],[Profit]]/Table1[[#This Row],[Sales_Amount]]</f>
        <v>0.42607313195548491</v>
      </c>
      <c r="P635" t="s">
        <v>52</v>
      </c>
    </row>
    <row r="636" spans="1:16" x14ac:dyDescent="0.35">
      <c r="A636" t="s">
        <v>1625</v>
      </c>
      <c r="B636" t="s">
        <v>1626</v>
      </c>
      <c r="C636" t="str">
        <f>TEXT(Table1[[#This Row],[Order_Date]],"mmm")</f>
        <v>May</v>
      </c>
      <c r="D636">
        <f>YEAR(Table1[[#This Row],[Order_Date]])</f>
        <v>2025</v>
      </c>
      <c r="E636" t="s">
        <v>46</v>
      </c>
      <c r="F636" t="s">
        <v>47</v>
      </c>
      <c r="G636" t="s">
        <v>70</v>
      </c>
      <c r="H636" t="s">
        <v>1627</v>
      </c>
      <c r="I636" t="s">
        <v>50</v>
      </c>
      <c r="J636" t="s">
        <v>51</v>
      </c>
      <c r="K636">
        <v>20</v>
      </c>
      <c r="L636">
        <v>56452</v>
      </c>
      <c r="M636">
        <v>30248</v>
      </c>
      <c r="N636">
        <v>26204</v>
      </c>
      <c r="O636" s="6">
        <f>Table1[[#This Row],[Profit]]/Table1[[#This Row],[Sales_Amount]]</f>
        <v>0.46418195989513217</v>
      </c>
      <c r="P636" t="s">
        <v>98</v>
      </c>
    </row>
    <row r="637" spans="1:16" x14ac:dyDescent="0.35">
      <c r="A637" t="s">
        <v>1628</v>
      </c>
      <c r="B637" t="s">
        <v>463</v>
      </c>
      <c r="C637" t="str">
        <f>TEXT(Table1[[#This Row],[Order_Date]],"mmm")</f>
        <v>Apr</v>
      </c>
      <c r="D637">
        <f>YEAR(Table1[[#This Row],[Order_Date]])</f>
        <v>2025</v>
      </c>
      <c r="E637" t="s">
        <v>55</v>
      </c>
      <c r="F637" t="s">
        <v>188</v>
      </c>
      <c r="G637" t="s">
        <v>80</v>
      </c>
      <c r="H637" t="s">
        <v>1629</v>
      </c>
      <c r="I637" t="s">
        <v>143</v>
      </c>
      <c r="J637" t="s">
        <v>51</v>
      </c>
      <c r="K637">
        <v>16</v>
      </c>
      <c r="L637">
        <v>76962</v>
      </c>
      <c r="M637">
        <v>46011</v>
      </c>
      <c r="N637">
        <v>30951</v>
      </c>
      <c r="O637" s="6">
        <f>Table1[[#This Row],[Profit]]/Table1[[#This Row],[Sales_Amount]]</f>
        <v>0.4021595072893116</v>
      </c>
      <c r="P637" t="s">
        <v>52</v>
      </c>
    </row>
    <row r="638" spans="1:16" x14ac:dyDescent="0.35">
      <c r="A638" t="s">
        <v>1630</v>
      </c>
      <c r="B638" t="s">
        <v>1069</v>
      </c>
      <c r="C638" t="str">
        <f>TEXT(Table1[[#This Row],[Order_Date]],"mmm")</f>
        <v>Sep</v>
      </c>
      <c r="D638">
        <f>YEAR(Table1[[#This Row],[Order_Date]])</f>
        <v>2025</v>
      </c>
      <c r="E638" t="s">
        <v>46</v>
      </c>
      <c r="F638" t="s">
        <v>47</v>
      </c>
      <c r="G638" t="s">
        <v>65</v>
      </c>
      <c r="H638" t="s">
        <v>1631</v>
      </c>
      <c r="I638" t="s">
        <v>125</v>
      </c>
      <c r="J638" t="s">
        <v>83</v>
      </c>
      <c r="K638">
        <v>18</v>
      </c>
      <c r="L638">
        <v>86343</v>
      </c>
      <c r="M638">
        <v>71607</v>
      </c>
      <c r="N638">
        <v>14736</v>
      </c>
      <c r="O638" s="6">
        <f>Table1[[#This Row],[Profit]]/Table1[[#This Row],[Sales_Amount]]</f>
        <v>0.17066814912615963</v>
      </c>
      <c r="P638" t="s">
        <v>121</v>
      </c>
    </row>
    <row r="639" spans="1:16" x14ac:dyDescent="0.35">
      <c r="A639" t="s">
        <v>1632</v>
      </c>
      <c r="B639" t="s">
        <v>324</v>
      </c>
      <c r="C639" t="str">
        <f>TEXT(Table1[[#This Row],[Order_Date]],"mmm")</f>
        <v>Oct</v>
      </c>
      <c r="D639">
        <f>YEAR(Table1[[#This Row],[Order_Date]])</f>
        <v>2025</v>
      </c>
      <c r="E639" t="s">
        <v>55</v>
      </c>
      <c r="F639" t="s">
        <v>56</v>
      </c>
      <c r="G639" t="s">
        <v>70</v>
      </c>
      <c r="H639" t="s">
        <v>1633</v>
      </c>
      <c r="I639" t="s">
        <v>82</v>
      </c>
      <c r="J639" t="s">
        <v>83</v>
      </c>
      <c r="K639">
        <v>20</v>
      </c>
      <c r="L639">
        <v>104425</v>
      </c>
      <c r="M639">
        <v>67523</v>
      </c>
      <c r="N639">
        <v>36902</v>
      </c>
      <c r="O639" s="6">
        <f>Table1[[#This Row],[Profit]]/Table1[[#This Row],[Sales_Amount]]</f>
        <v>0.3533828106296385</v>
      </c>
      <c r="P639" t="s">
        <v>52</v>
      </c>
    </row>
    <row r="640" spans="1:16" x14ac:dyDescent="0.35">
      <c r="A640" t="s">
        <v>1634</v>
      </c>
      <c r="B640" t="s">
        <v>468</v>
      </c>
      <c r="C640" t="str">
        <f>TEXT(Table1[[#This Row],[Order_Date]],"mmm")</f>
        <v>Apr</v>
      </c>
      <c r="D640">
        <f>YEAR(Table1[[#This Row],[Order_Date]])</f>
        <v>2025</v>
      </c>
      <c r="E640" t="s">
        <v>46</v>
      </c>
      <c r="F640" t="s">
        <v>47</v>
      </c>
      <c r="G640" t="s">
        <v>70</v>
      </c>
      <c r="H640" t="s">
        <v>1635</v>
      </c>
      <c r="I640" t="s">
        <v>59</v>
      </c>
      <c r="J640" t="s">
        <v>51</v>
      </c>
      <c r="K640">
        <v>16</v>
      </c>
      <c r="L640">
        <v>89561</v>
      </c>
      <c r="M640">
        <v>63108</v>
      </c>
      <c r="N640">
        <v>26453</v>
      </c>
      <c r="O640" s="6">
        <f>Table1[[#This Row],[Profit]]/Table1[[#This Row],[Sales_Amount]]</f>
        <v>0.29536293699266419</v>
      </c>
      <c r="P640" t="s">
        <v>52</v>
      </c>
    </row>
    <row r="641" spans="1:16" x14ac:dyDescent="0.35">
      <c r="A641" t="s">
        <v>1636</v>
      </c>
      <c r="B641" t="s">
        <v>268</v>
      </c>
      <c r="C641" t="str">
        <f>TEXT(Table1[[#This Row],[Order_Date]],"mmm")</f>
        <v>Oct</v>
      </c>
      <c r="D641">
        <f>YEAR(Table1[[#This Row],[Order_Date]])</f>
        <v>2025</v>
      </c>
      <c r="E641" t="s">
        <v>55</v>
      </c>
      <c r="F641" t="s">
        <v>56</v>
      </c>
      <c r="G641" t="s">
        <v>128</v>
      </c>
      <c r="H641" t="s">
        <v>1637</v>
      </c>
      <c r="I641" t="s">
        <v>59</v>
      </c>
      <c r="J641" t="s">
        <v>51</v>
      </c>
      <c r="K641">
        <v>20</v>
      </c>
      <c r="L641">
        <v>46121</v>
      </c>
      <c r="M641">
        <v>26965</v>
      </c>
      <c r="N641">
        <v>19156</v>
      </c>
      <c r="O641" s="6">
        <f>Table1[[#This Row],[Profit]]/Table1[[#This Row],[Sales_Amount]]</f>
        <v>0.41534225190260404</v>
      </c>
      <c r="P641" t="s">
        <v>52</v>
      </c>
    </row>
    <row r="642" spans="1:16" x14ac:dyDescent="0.35">
      <c r="A642" t="s">
        <v>1638</v>
      </c>
      <c r="B642" t="s">
        <v>1263</v>
      </c>
      <c r="C642" t="str">
        <f>TEXT(Table1[[#This Row],[Order_Date]],"mmm")</f>
        <v>Aug</v>
      </c>
      <c r="D642">
        <f>YEAR(Table1[[#This Row],[Order_Date]])</f>
        <v>2025</v>
      </c>
      <c r="E642" t="s">
        <v>55</v>
      </c>
      <c r="F642" t="s">
        <v>56</v>
      </c>
      <c r="G642" t="s">
        <v>57</v>
      </c>
      <c r="H642" t="s">
        <v>1639</v>
      </c>
      <c r="I642" t="s">
        <v>143</v>
      </c>
      <c r="J642" t="s">
        <v>51</v>
      </c>
      <c r="K642">
        <v>23</v>
      </c>
      <c r="L642">
        <v>71198</v>
      </c>
      <c r="M642">
        <v>49593</v>
      </c>
      <c r="N642">
        <v>21605</v>
      </c>
      <c r="O642" s="6">
        <f>Table1[[#This Row],[Profit]]/Table1[[#This Row],[Sales_Amount]]</f>
        <v>0.30344953509930056</v>
      </c>
      <c r="P642" t="s">
        <v>60</v>
      </c>
    </row>
    <row r="643" spans="1:16" x14ac:dyDescent="0.35">
      <c r="A643" t="s">
        <v>1640</v>
      </c>
      <c r="B643" t="s">
        <v>172</v>
      </c>
      <c r="C643" t="str">
        <f>TEXT(Table1[[#This Row],[Order_Date]],"mmm")</f>
        <v>Jun</v>
      </c>
      <c r="D643">
        <f>YEAR(Table1[[#This Row],[Order_Date]])</f>
        <v>2025</v>
      </c>
      <c r="E643" t="s">
        <v>55</v>
      </c>
      <c r="F643" t="s">
        <v>188</v>
      </c>
      <c r="G643" t="s">
        <v>116</v>
      </c>
      <c r="H643" t="s">
        <v>1641</v>
      </c>
      <c r="I643" t="s">
        <v>67</v>
      </c>
      <c r="J643" t="s">
        <v>51</v>
      </c>
      <c r="K643">
        <v>12</v>
      </c>
      <c r="L643">
        <v>106273</v>
      </c>
      <c r="M643">
        <v>51709</v>
      </c>
      <c r="N643">
        <v>54564</v>
      </c>
      <c r="O643" s="6">
        <f>Table1[[#This Row],[Profit]]/Table1[[#This Row],[Sales_Amount]]</f>
        <v>0.51343238640106137</v>
      </c>
      <c r="P643" t="s">
        <v>98</v>
      </c>
    </row>
    <row r="644" spans="1:16" x14ac:dyDescent="0.35">
      <c r="A644" t="s">
        <v>1642</v>
      </c>
      <c r="B644" t="s">
        <v>500</v>
      </c>
      <c r="C644" t="str">
        <f>TEXT(Table1[[#This Row],[Order_Date]],"mmm")</f>
        <v>Mar</v>
      </c>
      <c r="D644">
        <f>YEAR(Table1[[#This Row],[Order_Date]])</f>
        <v>2025</v>
      </c>
      <c r="E644" t="s">
        <v>46</v>
      </c>
      <c r="F644" t="s">
        <v>74</v>
      </c>
      <c r="G644" t="s">
        <v>80</v>
      </c>
      <c r="H644" t="s">
        <v>1643</v>
      </c>
      <c r="I644" t="s">
        <v>67</v>
      </c>
      <c r="J644" t="s">
        <v>51</v>
      </c>
      <c r="K644">
        <v>10</v>
      </c>
      <c r="L644">
        <v>59274</v>
      </c>
      <c r="M644">
        <v>44928</v>
      </c>
      <c r="N644">
        <v>14346</v>
      </c>
      <c r="O644" s="6">
        <f>Table1[[#This Row],[Profit]]/Table1[[#This Row],[Sales_Amount]]</f>
        <v>0.24202854539933191</v>
      </c>
      <c r="P644" t="s">
        <v>52</v>
      </c>
    </row>
    <row r="645" spans="1:16" x14ac:dyDescent="0.35">
      <c r="A645" t="s">
        <v>1644</v>
      </c>
      <c r="B645" t="s">
        <v>1645</v>
      </c>
      <c r="C645" t="str">
        <f>TEXT(Table1[[#This Row],[Order_Date]],"mmm")</f>
        <v>Apr</v>
      </c>
      <c r="D645">
        <f>YEAR(Table1[[#This Row],[Order_Date]])</f>
        <v>2025</v>
      </c>
      <c r="E645" t="s">
        <v>63</v>
      </c>
      <c r="F645" t="s">
        <v>104</v>
      </c>
      <c r="G645" t="s">
        <v>70</v>
      </c>
      <c r="H645" t="s">
        <v>1646</v>
      </c>
      <c r="I645" t="s">
        <v>76</v>
      </c>
      <c r="J645" t="s">
        <v>77</v>
      </c>
      <c r="K645">
        <v>1</v>
      </c>
      <c r="L645">
        <v>116254</v>
      </c>
      <c r="M645">
        <v>83317</v>
      </c>
      <c r="N645">
        <v>32937</v>
      </c>
      <c r="O645" s="6">
        <f>Table1[[#This Row],[Profit]]/Table1[[#This Row],[Sales_Amount]]</f>
        <v>0.28331928363755227</v>
      </c>
      <c r="P645" t="s">
        <v>121</v>
      </c>
    </row>
    <row r="646" spans="1:16" x14ac:dyDescent="0.35">
      <c r="A646" t="s">
        <v>1647</v>
      </c>
      <c r="B646" t="s">
        <v>1648</v>
      </c>
      <c r="C646" t="str">
        <f>TEXT(Table1[[#This Row],[Order_Date]],"mmm")</f>
        <v>Apr</v>
      </c>
      <c r="D646">
        <f>YEAR(Table1[[#This Row],[Order_Date]])</f>
        <v>2025</v>
      </c>
      <c r="E646" t="s">
        <v>111</v>
      </c>
      <c r="F646" t="s">
        <v>169</v>
      </c>
      <c r="G646" t="s">
        <v>48</v>
      </c>
      <c r="H646" t="s">
        <v>1649</v>
      </c>
      <c r="I646" t="s">
        <v>76</v>
      </c>
      <c r="J646" t="s">
        <v>77</v>
      </c>
      <c r="K646">
        <v>4</v>
      </c>
      <c r="L646">
        <v>50641</v>
      </c>
      <c r="M646">
        <v>27325</v>
      </c>
      <c r="N646">
        <v>23316</v>
      </c>
      <c r="O646" s="6">
        <f>Table1[[#This Row],[Profit]]/Table1[[#This Row],[Sales_Amount]]</f>
        <v>0.46041744831263204</v>
      </c>
      <c r="P646" t="s">
        <v>52</v>
      </c>
    </row>
    <row r="647" spans="1:16" x14ac:dyDescent="0.35">
      <c r="A647" t="s">
        <v>1650</v>
      </c>
      <c r="B647" t="s">
        <v>165</v>
      </c>
      <c r="C647" t="str">
        <f>TEXT(Table1[[#This Row],[Order_Date]],"mmm")</f>
        <v>Mar</v>
      </c>
      <c r="D647">
        <f>YEAR(Table1[[#This Row],[Order_Date]])</f>
        <v>2025</v>
      </c>
      <c r="E647" t="s">
        <v>46</v>
      </c>
      <c r="F647" t="s">
        <v>74</v>
      </c>
      <c r="G647" t="s">
        <v>57</v>
      </c>
      <c r="H647" t="s">
        <v>1651</v>
      </c>
      <c r="I647" t="s">
        <v>82</v>
      </c>
      <c r="J647" t="s">
        <v>83</v>
      </c>
      <c r="K647">
        <v>16</v>
      </c>
      <c r="L647">
        <v>91138</v>
      </c>
      <c r="M647">
        <v>62159</v>
      </c>
      <c r="N647">
        <v>28979</v>
      </c>
      <c r="O647" s="6">
        <f>Table1[[#This Row],[Profit]]/Table1[[#This Row],[Sales_Amount]]</f>
        <v>0.31796835568039677</v>
      </c>
      <c r="P647" t="s">
        <v>98</v>
      </c>
    </row>
    <row r="648" spans="1:16" x14ac:dyDescent="0.35">
      <c r="A648" t="s">
        <v>1652</v>
      </c>
      <c r="B648" t="s">
        <v>1127</v>
      </c>
      <c r="C648" t="str">
        <f>TEXT(Table1[[#This Row],[Order_Date]],"mmm")</f>
        <v>Nov</v>
      </c>
      <c r="D648">
        <f>YEAR(Table1[[#This Row],[Order_Date]])</f>
        <v>2025</v>
      </c>
      <c r="E648" t="s">
        <v>55</v>
      </c>
      <c r="F648" t="s">
        <v>188</v>
      </c>
      <c r="G648" t="s">
        <v>128</v>
      </c>
      <c r="H648" t="s">
        <v>1653</v>
      </c>
      <c r="I648" t="s">
        <v>125</v>
      </c>
      <c r="J648" t="s">
        <v>83</v>
      </c>
      <c r="K648">
        <v>23</v>
      </c>
      <c r="L648">
        <v>17517</v>
      </c>
      <c r="M648">
        <v>8091</v>
      </c>
      <c r="N648">
        <v>9426</v>
      </c>
      <c r="O648" s="6">
        <f>Table1[[#This Row],[Profit]]/Table1[[#This Row],[Sales_Amount]]</f>
        <v>0.53810584004110296</v>
      </c>
      <c r="P648" t="s">
        <v>52</v>
      </c>
    </row>
    <row r="649" spans="1:16" x14ac:dyDescent="0.35">
      <c r="A649" t="s">
        <v>1654</v>
      </c>
      <c r="B649" t="s">
        <v>197</v>
      </c>
      <c r="C649" t="str">
        <f>TEXT(Table1[[#This Row],[Order_Date]],"mmm")</f>
        <v>Sep</v>
      </c>
      <c r="D649">
        <f>YEAR(Table1[[#This Row],[Order_Date]])</f>
        <v>2025</v>
      </c>
      <c r="E649" t="s">
        <v>111</v>
      </c>
      <c r="F649" t="s">
        <v>169</v>
      </c>
      <c r="G649" t="s">
        <v>128</v>
      </c>
      <c r="H649" t="s">
        <v>1655</v>
      </c>
      <c r="I649" t="s">
        <v>50</v>
      </c>
      <c r="J649" t="s">
        <v>51</v>
      </c>
      <c r="K649">
        <v>8</v>
      </c>
      <c r="L649">
        <v>62293</v>
      </c>
      <c r="M649">
        <v>45233</v>
      </c>
      <c r="N649">
        <v>17060</v>
      </c>
      <c r="O649" s="6">
        <f>Table1[[#This Row],[Profit]]/Table1[[#This Row],[Sales_Amount]]</f>
        <v>0.27386704766185604</v>
      </c>
      <c r="P649" t="s">
        <v>52</v>
      </c>
    </row>
    <row r="650" spans="1:16" x14ac:dyDescent="0.35">
      <c r="A650" t="s">
        <v>1656</v>
      </c>
      <c r="B650" t="s">
        <v>1645</v>
      </c>
      <c r="C650" t="str">
        <f>TEXT(Table1[[#This Row],[Order_Date]],"mmm")</f>
        <v>Apr</v>
      </c>
      <c r="D650">
        <f>YEAR(Table1[[#This Row],[Order_Date]])</f>
        <v>2025</v>
      </c>
      <c r="E650" t="s">
        <v>46</v>
      </c>
      <c r="F650" t="s">
        <v>47</v>
      </c>
      <c r="G650" t="s">
        <v>57</v>
      </c>
      <c r="H650" t="s">
        <v>1657</v>
      </c>
      <c r="I650" t="s">
        <v>143</v>
      </c>
      <c r="J650" t="s">
        <v>51</v>
      </c>
      <c r="K650">
        <v>17</v>
      </c>
      <c r="L650">
        <v>50992</v>
      </c>
      <c r="M650">
        <v>27738</v>
      </c>
      <c r="N650">
        <v>23254</v>
      </c>
      <c r="O650" s="6">
        <f>Table1[[#This Row],[Profit]]/Table1[[#This Row],[Sales_Amount]]</f>
        <v>0.45603231879510514</v>
      </c>
      <c r="P650" t="s">
        <v>60</v>
      </c>
    </row>
    <row r="651" spans="1:16" x14ac:dyDescent="0.35">
      <c r="A651" t="s">
        <v>1658</v>
      </c>
      <c r="B651" t="s">
        <v>736</v>
      </c>
      <c r="C651" t="str">
        <f>TEXT(Table1[[#This Row],[Order_Date]],"mmm")</f>
        <v>Jul</v>
      </c>
      <c r="D651">
        <f>YEAR(Table1[[#This Row],[Order_Date]])</f>
        <v>2025</v>
      </c>
      <c r="E651" t="s">
        <v>111</v>
      </c>
      <c r="F651" t="s">
        <v>112</v>
      </c>
      <c r="G651" t="s">
        <v>65</v>
      </c>
      <c r="H651" t="s">
        <v>1659</v>
      </c>
      <c r="I651" t="s">
        <v>125</v>
      </c>
      <c r="J651" t="s">
        <v>83</v>
      </c>
      <c r="K651">
        <v>17</v>
      </c>
      <c r="L651">
        <v>35299</v>
      </c>
      <c r="M651">
        <v>18117</v>
      </c>
      <c r="N651">
        <v>17182</v>
      </c>
      <c r="O651" s="6">
        <f>Table1[[#This Row],[Profit]]/Table1[[#This Row],[Sales_Amount]]</f>
        <v>0.48675599875350578</v>
      </c>
      <c r="P651" t="s">
        <v>60</v>
      </c>
    </row>
    <row r="652" spans="1:16" x14ac:dyDescent="0.35">
      <c r="A652" t="s">
        <v>1660</v>
      </c>
      <c r="B652" t="s">
        <v>1661</v>
      </c>
      <c r="C652" t="str">
        <f>TEXT(Table1[[#This Row],[Order_Date]],"mmm")</f>
        <v>Feb</v>
      </c>
      <c r="D652">
        <f>YEAR(Table1[[#This Row],[Order_Date]])</f>
        <v>2025</v>
      </c>
      <c r="E652" t="s">
        <v>55</v>
      </c>
      <c r="F652" t="s">
        <v>56</v>
      </c>
      <c r="G652" t="s">
        <v>70</v>
      </c>
      <c r="H652" t="s">
        <v>1662</v>
      </c>
      <c r="I652" t="s">
        <v>82</v>
      </c>
      <c r="J652" t="s">
        <v>83</v>
      </c>
      <c r="K652">
        <v>5</v>
      </c>
      <c r="L652">
        <v>41193</v>
      </c>
      <c r="M652">
        <v>26844</v>
      </c>
      <c r="N652">
        <v>14349</v>
      </c>
      <c r="O652" s="6">
        <f>Table1[[#This Row],[Profit]]/Table1[[#This Row],[Sales_Amount]]</f>
        <v>0.34833588231010121</v>
      </c>
      <c r="P652" t="s">
        <v>98</v>
      </c>
    </row>
    <row r="653" spans="1:16" x14ac:dyDescent="0.35">
      <c r="A653" t="s">
        <v>1663</v>
      </c>
      <c r="B653" t="s">
        <v>1664</v>
      </c>
      <c r="C653" t="str">
        <f>TEXT(Table1[[#This Row],[Order_Date]],"mmm")</f>
        <v>Aug</v>
      </c>
      <c r="D653">
        <f>YEAR(Table1[[#This Row],[Order_Date]])</f>
        <v>2025</v>
      </c>
      <c r="E653" t="s">
        <v>55</v>
      </c>
      <c r="F653" t="s">
        <v>56</v>
      </c>
      <c r="G653" t="s">
        <v>57</v>
      </c>
      <c r="H653" t="s">
        <v>1665</v>
      </c>
      <c r="I653" t="s">
        <v>82</v>
      </c>
      <c r="J653" t="s">
        <v>83</v>
      </c>
      <c r="K653">
        <v>24</v>
      </c>
      <c r="L653">
        <v>89138</v>
      </c>
      <c r="M653">
        <v>45349</v>
      </c>
      <c r="N653">
        <v>43789</v>
      </c>
      <c r="O653" s="6">
        <f>Table1[[#This Row],[Profit]]/Table1[[#This Row],[Sales_Amount]]</f>
        <v>0.49124952321120063</v>
      </c>
      <c r="P653" t="s">
        <v>52</v>
      </c>
    </row>
    <row r="654" spans="1:16" x14ac:dyDescent="0.35">
      <c r="A654" t="s">
        <v>1666</v>
      </c>
      <c r="B654" t="s">
        <v>401</v>
      </c>
      <c r="C654" t="str">
        <f>TEXT(Table1[[#This Row],[Order_Date]],"mmm")</f>
        <v>Oct</v>
      </c>
      <c r="D654">
        <f>YEAR(Table1[[#This Row],[Order_Date]])</f>
        <v>2025</v>
      </c>
      <c r="E654" t="s">
        <v>111</v>
      </c>
      <c r="F654" t="s">
        <v>112</v>
      </c>
      <c r="G654" t="s">
        <v>80</v>
      </c>
      <c r="H654" t="s">
        <v>1667</v>
      </c>
      <c r="I654" t="s">
        <v>59</v>
      </c>
      <c r="J654" t="s">
        <v>51</v>
      </c>
      <c r="K654">
        <v>15</v>
      </c>
      <c r="L654">
        <v>56885</v>
      </c>
      <c r="M654">
        <v>48210</v>
      </c>
      <c r="N654">
        <v>8675</v>
      </c>
      <c r="O654" s="6">
        <f>Table1[[#This Row],[Profit]]/Table1[[#This Row],[Sales_Amount]]</f>
        <v>0.1525006592247517</v>
      </c>
      <c r="P654" t="s">
        <v>98</v>
      </c>
    </row>
    <row r="655" spans="1:16" x14ac:dyDescent="0.35">
      <c r="A655" t="s">
        <v>1668</v>
      </c>
      <c r="B655" t="s">
        <v>249</v>
      </c>
      <c r="C655" t="str">
        <f>TEXT(Table1[[#This Row],[Order_Date]],"mmm")</f>
        <v>Apr</v>
      </c>
      <c r="D655">
        <f>YEAR(Table1[[#This Row],[Order_Date]])</f>
        <v>2025</v>
      </c>
      <c r="E655" t="s">
        <v>46</v>
      </c>
      <c r="F655" t="s">
        <v>74</v>
      </c>
      <c r="G655" t="s">
        <v>80</v>
      </c>
      <c r="H655" t="s">
        <v>1669</v>
      </c>
      <c r="I655" t="s">
        <v>87</v>
      </c>
      <c r="J655" t="s">
        <v>88</v>
      </c>
      <c r="K655">
        <v>17</v>
      </c>
      <c r="L655">
        <v>112229</v>
      </c>
      <c r="M655">
        <v>87370</v>
      </c>
      <c r="N655">
        <v>24859</v>
      </c>
      <c r="O655" s="6">
        <f>Table1[[#This Row],[Profit]]/Table1[[#This Row],[Sales_Amount]]</f>
        <v>0.22150246371258767</v>
      </c>
      <c r="P655" t="s">
        <v>121</v>
      </c>
    </row>
    <row r="656" spans="1:16" x14ac:dyDescent="0.35">
      <c r="A656" t="s">
        <v>1670</v>
      </c>
      <c r="B656" t="s">
        <v>485</v>
      </c>
      <c r="C656" t="str">
        <f>TEXT(Table1[[#This Row],[Order_Date]],"mmm")</f>
        <v>May</v>
      </c>
      <c r="D656">
        <f>YEAR(Table1[[#This Row],[Order_Date]])</f>
        <v>2025</v>
      </c>
      <c r="E656" t="s">
        <v>55</v>
      </c>
      <c r="F656" t="s">
        <v>56</v>
      </c>
      <c r="G656" t="s">
        <v>128</v>
      </c>
      <c r="H656" t="s">
        <v>1671</v>
      </c>
      <c r="I656" t="s">
        <v>87</v>
      </c>
      <c r="J656" t="s">
        <v>88</v>
      </c>
      <c r="K656">
        <v>8</v>
      </c>
      <c r="L656">
        <v>53038</v>
      </c>
      <c r="M656">
        <v>44650</v>
      </c>
      <c r="N656">
        <v>8388</v>
      </c>
      <c r="O656" s="6">
        <f>Table1[[#This Row],[Profit]]/Table1[[#This Row],[Sales_Amount]]</f>
        <v>0.15815075983257287</v>
      </c>
      <c r="P656" t="s">
        <v>60</v>
      </c>
    </row>
    <row r="657" spans="1:16" x14ac:dyDescent="0.35">
      <c r="A657" t="s">
        <v>1672</v>
      </c>
      <c r="B657" t="s">
        <v>863</v>
      </c>
      <c r="C657" t="str">
        <f>TEXT(Table1[[#This Row],[Order_Date]],"mmm")</f>
        <v>Aug</v>
      </c>
      <c r="D657">
        <f>YEAR(Table1[[#This Row],[Order_Date]])</f>
        <v>2025</v>
      </c>
      <c r="E657" t="s">
        <v>63</v>
      </c>
      <c r="F657" t="s">
        <v>64</v>
      </c>
      <c r="G657" t="s">
        <v>57</v>
      </c>
      <c r="H657" t="s">
        <v>1673</v>
      </c>
      <c r="I657" t="s">
        <v>76</v>
      </c>
      <c r="J657" t="s">
        <v>77</v>
      </c>
      <c r="K657">
        <v>9</v>
      </c>
      <c r="L657">
        <v>3177</v>
      </c>
      <c r="M657">
        <v>1770</v>
      </c>
      <c r="N657">
        <v>1407</v>
      </c>
      <c r="O657" s="6">
        <f>Table1[[#This Row],[Profit]]/Table1[[#This Row],[Sales_Amount]]</f>
        <v>0.4428706326723324</v>
      </c>
      <c r="P657" t="s">
        <v>52</v>
      </c>
    </row>
    <row r="658" spans="1:16" x14ac:dyDescent="0.35">
      <c r="A658" t="s">
        <v>1674</v>
      </c>
      <c r="B658" t="s">
        <v>1675</v>
      </c>
      <c r="C658" t="str">
        <f>TEXT(Table1[[#This Row],[Order_Date]],"mmm")</f>
        <v>May</v>
      </c>
      <c r="D658">
        <f>YEAR(Table1[[#This Row],[Order_Date]])</f>
        <v>2025</v>
      </c>
      <c r="E658" t="s">
        <v>46</v>
      </c>
      <c r="F658" t="s">
        <v>47</v>
      </c>
      <c r="G658" t="s">
        <v>116</v>
      </c>
      <c r="H658" t="s">
        <v>1676</v>
      </c>
      <c r="I658" t="s">
        <v>76</v>
      </c>
      <c r="J658" t="s">
        <v>77</v>
      </c>
      <c r="K658">
        <v>6</v>
      </c>
      <c r="L658">
        <v>116013</v>
      </c>
      <c r="M658">
        <v>75886</v>
      </c>
      <c r="N658">
        <v>40127</v>
      </c>
      <c r="O658" s="6">
        <f>Table1[[#This Row],[Profit]]/Table1[[#This Row],[Sales_Amount]]</f>
        <v>0.34588365097014989</v>
      </c>
      <c r="P658" t="s">
        <v>52</v>
      </c>
    </row>
    <row r="659" spans="1:16" x14ac:dyDescent="0.35">
      <c r="A659" t="s">
        <v>1677</v>
      </c>
      <c r="B659" t="s">
        <v>345</v>
      </c>
      <c r="C659" t="str">
        <f>TEXT(Table1[[#This Row],[Order_Date]],"mmm")</f>
        <v>Apr</v>
      </c>
      <c r="D659">
        <f>YEAR(Table1[[#This Row],[Order_Date]])</f>
        <v>2025</v>
      </c>
      <c r="E659" t="s">
        <v>55</v>
      </c>
      <c r="F659" t="s">
        <v>56</v>
      </c>
      <c r="G659" t="s">
        <v>48</v>
      </c>
      <c r="H659" t="s">
        <v>1678</v>
      </c>
      <c r="I659" t="s">
        <v>125</v>
      </c>
      <c r="J659" t="s">
        <v>83</v>
      </c>
      <c r="K659">
        <v>22</v>
      </c>
      <c r="L659">
        <v>91000</v>
      </c>
      <c r="M659">
        <v>67772</v>
      </c>
      <c r="N659">
        <v>23228</v>
      </c>
      <c r="O659" s="6">
        <f>Table1[[#This Row],[Profit]]/Table1[[#This Row],[Sales_Amount]]</f>
        <v>0.25525274725274727</v>
      </c>
      <c r="P659" t="s">
        <v>98</v>
      </c>
    </row>
    <row r="660" spans="1:16" x14ac:dyDescent="0.35">
      <c r="A660" t="s">
        <v>1679</v>
      </c>
      <c r="B660" t="s">
        <v>1675</v>
      </c>
      <c r="C660" t="str">
        <f>TEXT(Table1[[#This Row],[Order_Date]],"mmm")</f>
        <v>May</v>
      </c>
      <c r="D660">
        <f>YEAR(Table1[[#This Row],[Order_Date]])</f>
        <v>2025</v>
      </c>
      <c r="E660" t="s">
        <v>55</v>
      </c>
      <c r="F660" t="s">
        <v>188</v>
      </c>
      <c r="G660" t="s">
        <v>48</v>
      </c>
      <c r="H660" t="s">
        <v>1680</v>
      </c>
      <c r="I660" t="s">
        <v>143</v>
      </c>
      <c r="J660" t="s">
        <v>51</v>
      </c>
      <c r="K660">
        <v>10</v>
      </c>
      <c r="L660">
        <v>68591</v>
      </c>
      <c r="M660">
        <v>39764</v>
      </c>
      <c r="N660">
        <v>28827</v>
      </c>
      <c r="O660" s="6">
        <f>Table1[[#This Row],[Profit]]/Table1[[#This Row],[Sales_Amount]]</f>
        <v>0.42027379685381466</v>
      </c>
      <c r="P660" t="s">
        <v>60</v>
      </c>
    </row>
    <row r="661" spans="1:16" x14ac:dyDescent="0.35">
      <c r="A661" t="s">
        <v>1681</v>
      </c>
      <c r="B661" t="s">
        <v>1072</v>
      </c>
      <c r="C661" t="str">
        <f>TEXT(Table1[[#This Row],[Order_Date]],"mmm")</f>
        <v>Sep</v>
      </c>
      <c r="D661">
        <f>YEAR(Table1[[#This Row],[Order_Date]])</f>
        <v>2025</v>
      </c>
      <c r="E661" t="s">
        <v>55</v>
      </c>
      <c r="F661" t="s">
        <v>188</v>
      </c>
      <c r="G661" t="s">
        <v>65</v>
      </c>
      <c r="H661" t="s">
        <v>1682</v>
      </c>
      <c r="I661" t="s">
        <v>82</v>
      </c>
      <c r="J661" t="s">
        <v>83</v>
      </c>
      <c r="K661">
        <v>24</v>
      </c>
      <c r="L661">
        <v>102289</v>
      </c>
      <c r="M661">
        <v>85059</v>
      </c>
      <c r="N661">
        <v>17230</v>
      </c>
      <c r="O661" s="6">
        <f>Table1[[#This Row],[Profit]]/Table1[[#This Row],[Sales_Amount]]</f>
        <v>0.16844430974982647</v>
      </c>
      <c r="P661" t="s">
        <v>52</v>
      </c>
    </row>
    <row r="662" spans="1:16" x14ac:dyDescent="0.35">
      <c r="A662" t="s">
        <v>1683</v>
      </c>
      <c r="B662" t="s">
        <v>1684</v>
      </c>
      <c r="C662" t="str">
        <f>TEXT(Table1[[#This Row],[Order_Date]],"mmm")</f>
        <v>Jul</v>
      </c>
      <c r="D662">
        <f>YEAR(Table1[[#This Row],[Order_Date]])</f>
        <v>2025</v>
      </c>
      <c r="E662" t="s">
        <v>46</v>
      </c>
      <c r="F662" t="s">
        <v>47</v>
      </c>
      <c r="G662" t="s">
        <v>57</v>
      </c>
      <c r="H662" t="s">
        <v>1685</v>
      </c>
      <c r="I662" t="s">
        <v>50</v>
      </c>
      <c r="J662" t="s">
        <v>51</v>
      </c>
      <c r="K662">
        <v>6</v>
      </c>
      <c r="L662">
        <v>21274</v>
      </c>
      <c r="M662">
        <v>17519</v>
      </c>
      <c r="N662">
        <v>3755</v>
      </c>
      <c r="O662" s="6">
        <f>Table1[[#This Row],[Profit]]/Table1[[#This Row],[Sales_Amount]]</f>
        <v>0.17650653379712325</v>
      </c>
      <c r="P662" t="s">
        <v>60</v>
      </c>
    </row>
    <row r="663" spans="1:16" x14ac:dyDescent="0.35">
      <c r="A663" t="s">
        <v>1686</v>
      </c>
      <c r="B663" t="s">
        <v>388</v>
      </c>
      <c r="C663" t="str">
        <f>TEXT(Table1[[#This Row],[Order_Date]],"mmm")</f>
        <v>Jun</v>
      </c>
      <c r="D663">
        <f>YEAR(Table1[[#This Row],[Order_Date]])</f>
        <v>2025</v>
      </c>
      <c r="E663" t="s">
        <v>63</v>
      </c>
      <c r="F663" t="s">
        <v>64</v>
      </c>
      <c r="G663" t="s">
        <v>138</v>
      </c>
      <c r="H663" t="s">
        <v>1687</v>
      </c>
      <c r="I663" t="s">
        <v>50</v>
      </c>
      <c r="J663" t="s">
        <v>51</v>
      </c>
      <c r="K663">
        <v>8</v>
      </c>
      <c r="L663">
        <v>44806</v>
      </c>
      <c r="M663">
        <v>37340</v>
      </c>
      <c r="N663">
        <v>7466</v>
      </c>
      <c r="O663" s="6">
        <f>Table1[[#This Row],[Profit]]/Table1[[#This Row],[Sales_Amount]]</f>
        <v>0.16662946926750882</v>
      </c>
      <c r="P663" t="s">
        <v>98</v>
      </c>
    </row>
    <row r="664" spans="1:16" x14ac:dyDescent="0.35">
      <c r="A664" t="s">
        <v>1688</v>
      </c>
      <c r="B664" t="s">
        <v>1689</v>
      </c>
      <c r="C664" t="str">
        <f>TEXT(Table1[[#This Row],[Order_Date]],"mmm")</f>
        <v>May</v>
      </c>
      <c r="D664">
        <f>YEAR(Table1[[#This Row],[Order_Date]])</f>
        <v>2025</v>
      </c>
      <c r="E664" t="s">
        <v>46</v>
      </c>
      <c r="F664" t="s">
        <v>47</v>
      </c>
      <c r="G664" t="s">
        <v>128</v>
      </c>
      <c r="H664" t="s">
        <v>1176</v>
      </c>
      <c r="I664" t="s">
        <v>76</v>
      </c>
      <c r="J664" t="s">
        <v>77</v>
      </c>
      <c r="K664">
        <v>16</v>
      </c>
      <c r="L664">
        <v>62535</v>
      </c>
      <c r="M664">
        <v>40152</v>
      </c>
      <c r="N664">
        <v>22383</v>
      </c>
      <c r="O664" s="6">
        <f>Table1[[#This Row],[Profit]]/Table1[[#This Row],[Sales_Amount]]</f>
        <v>0.35792756056608299</v>
      </c>
      <c r="P664" t="s">
        <v>121</v>
      </c>
    </row>
    <row r="665" spans="1:16" x14ac:dyDescent="0.35">
      <c r="A665" t="s">
        <v>1690</v>
      </c>
      <c r="B665" t="s">
        <v>1373</v>
      </c>
      <c r="C665" t="str">
        <f>TEXT(Table1[[#This Row],[Order_Date]],"mmm")</f>
        <v>Dec</v>
      </c>
      <c r="D665">
        <f>YEAR(Table1[[#This Row],[Order_Date]])</f>
        <v>2025</v>
      </c>
      <c r="E665" t="s">
        <v>63</v>
      </c>
      <c r="F665" t="s">
        <v>64</v>
      </c>
      <c r="G665" t="s">
        <v>138</v>
      </c>
      <c r="H665" t="s">
        <v>1691</v>
      </c>
      <c r="I665" t="s">
        <v>67</v>
      </c>
      <c r="J665" t="s">
        <v>51</v>
      </c>
      <c r="K665">
        <v>14</v>
      </c>
      <c r="L665">
        <v>119091</v>
      </c>
      <c r="M665">
        <v>61647</v>
      </c>
      <c r="N665">
        <v>57444</v>
      </c>
      <c r="O665" s="6">
        <f>Table1[[#This Row],[Profit]]/Table1[[#This Row],[Sales_Amount]]</f>
        <v>0.48235383026425172</v>
      </c>
      <c r="P665" t="s">
        <v>98</v>
      </c>
    </row>
    <row r="666" spans="1:16" x14ac:dyDescent="0.35">
      <c r="A666" t="s">
        <v>1692</v>
      </c>
      <c r="B666" t="s">
        <v>901</v>
      </c>
      <c r="C666" t="str">
        <f>TEXT(Table1[[#This Row],[Order_Date]],"mmm")</f>
        <v>Nov</v>
      </c>
      <c r="D666">
        <f>YEAR(Table1[[#This Row],[Order_Date]])</f>
        <v>2025</v>
      </c>
      <c r="E666" t="s">
        <v>46</v>
      </c>
      <c r="F666" t="s">
        <v>47</v>
      </c>
      <c r="G666" t="s">
        <v>48</v>
      </c>
      <c r="H666" t="s">
        <v>1693</v>
      </c>
      <c r="I666" t="s">
        <v>87</v>
      </c>
      <c r="J666" t="s">
        <v>88</v>
      </c>
      <c r="K666">
        <v>16</v>
      </c>
      <c r="L666">
        <v>91789</v>
      </c>
      <c r="M666">
        <v>50282</v>
      </c>
      <c r="N666">
        <v>41507</v>
      </c>
      <c r="O666" s="6">
        <f>Table1[[#This Row],[Profit]]/Table1[[#This Row],[Sales_Amount]]</f>
        <v>0.45220015470263319</v>
      </c>
      <c r="P666" t="s">
        <v>52</v>
      </c>
    </row>
    <row r="667" spans="1:16" x14ac:dyDescent="0.35">
      <c r="A667" t="s">
        <v>1694</v>
      </c>
      <c r="B667" t="s">
        <v>772</v>
      </c>
      <c r="C667" t="str">
        <f>TEXT(Table1[[#This Row],[Order_Date]],"mmm")</f>
        <v>Jun</v>
      </c>
      <c r="D667">
        <f>YEAR(Table1[[#This Row],[Order_Date]])</f>
        <v>2025</v>
      </c>
      <c r="E667" t="s">
        <v>63</v>
      </c>
      <c r="F667" t="s">
        <v>104</v>
      </c>
      <c r="G667" t="s">
        <v>80</v>
      </c>
      <c r="H667" t="s">
        <v>1695</v>
      </c>
      <c r="I667" t="s">
        <v>87</v>
      </c>
      <c r="J667" t="s">
        <v>88</v>
      </c>
      <c r="K667">
        <v>13</v>
      </c>
      <c r="L667">
        <v>86193</v>
      </c>
      <c r="M667">
        <v>44493</v>
      </c>
      <c r="N667">
        <v>41700</v>
      </c>
      <c r="O667" s="6">
        <f>Table1[[#This Row],[Profit]]/Table1[[#This Row],[Sales_Amount]]</f>
        <v>0.48379798823570358</v>
      </c>
      <c r="P667" t="s">
        <v>52</v>
      </c>
    </row>
    <row r="668" spans="1:16" x14ac:dyDescent="0.35">
      <c r="A668" t="s">
        <v>1696</v>
      </c>
      <c r="B668" t="s">
        <v>1312</v>
      </c>
      <c r="C668" t="str">
        <f>TEXT(Table1[[#This Row],[Order_Date]],"mmm")</f>
        <v>Sep</v>
      </c>
      <c r="D668">
        <f>YEAR(Table1[[#This Row],[Order_Date]])</f>
        <v>2025</v>
      </c>
      <c r="E668" t="s">
        <v>46</v>
      </c>
      <c r="F668" t="s">
        <v>47</v>
      </c>
      <c r="G668" t="s">
        <v>116</v>
      </c>
      <c r="H668" t="s">
        <v>1697</v>
      </c>
      <c r="I668" t="s">
        <v>76</v>
      </c>
      <c r="J668" t="s">
        <v>77</v>
      </c>
      <c r="K668">
        <v>21</v>
      </c>
      <c r="L668">
        <v>22431</v>
      </c>
      <c r="M668">
        <v>10688</v>
      </c>
      <c r="N668">
        <v>11743</v>
      </c>
      <c r="O668" s="6">
        <f>Table1[[#This Row],[Profit]]/Table1[[#This Row],[Sales_Amount]]</f>
        <v>0.52351656190094065</v>
      </c>
      <c r="P668" t="s">
        <v>121</v>
      </c>
    </row>
    <row r="669" spans="1:16" x14ac:dyDescent="0.35">
      <c r="A669" t="s">
        <v>1698</v>
      </c>
      <c r="B669" t="s">
        <v>1127</v>
      </c>
      <c r="C669" t="str">
        <f>TEXT(Table1[[#This Row],[Order_Date]],"mmm")</f>
        <v>Nov</v>
      </c>
      <c r="D669">
        <f>YEAR(Table1[[#This Row],[Order_Date]])</f>
        <v>2025</v>
      </c>
      <c r="E669" t="s">
        <v>63</v>
      </c>
      <c r="F669" t="s">
        <v>64</v>
      </c>
      <c r="G669" t="s">
        <v>128</v>
      </c>
      <c r="H669" t="s">
        <v>1699</v>
      </c>
      <c r="I669" t="s">
        <v>143</v>
      </c>
      <c r="J669" t="s">
        <v>51</v>
      </c>
      <c r="K669">
        <v>6</v>
      </c>
      <c r="L669">
        <v>13625</v>
      </c>
      <c r="M669">
        <v>11494</v>
      </c>
      <c r="N669">
        <v>2131</v>
      </c>
      <c r="O669" s="6">
        <f>Table1[[#This Row],[Profit]]/Table1[[#This Row],[Sales_Amount]]</f>
        <v>0.15640366972477066</v>
      </c>
      <c r="P669" t="s">
        <v>121</v>
      </c>
    </row>
    <row r="670" spans="1:16" x14ac:dyDescent="0.35">
      <c r="A670" t="s">
        <v>1700</v>
      </c>
      <c r="B670" t="s">
        <v>1114</v>
      </c>
      <c r="C670" t="str">
        <f>TEXT(Table1[[#This Row],[Order_Date]],"mmm")</f>
        <v>Aug</v>
      </c>
      <c r="D670">
        <f>YEAR(Table1[[#This Row],[Order_Date]])</f>
        <v>2025</v>
      </c>
      <c r="E670" t="s">
        <v>111</v>
      </c>
      <c r="F670" t="s">
        <v>112</v>
      </c>
      <c r="G670" t="s">
        <v>128</v>
      </c>
      <c r="H670" t="s">
        <v>1701</v>
      </c>
      <c r="I670" t="s">
        <v>59</v>
      </c>
      <c r="J670" t="s">
        <v>51</v>
      </c>
      <c r="K670">
        <v>2</v>
      </c>
      <c r="L670">
        <v>45847</v>
      </c>
      <c r="M670">
        <v>36348</v>
      </c>
      <c r="N670">
        <v>9499</v>
      </c>
      <c r="O670" s="6">
        <f>Table1[[#This Row],[Profit]]/Table1[[#This Row],[Sales_Amount]]</f>
        <v>0.20718912905969855</v>
      </c>
      <c r="P670" t="s">
        <v>98</v>
      </c>
    </row>
    <row r="671" spans="1:16" x14ac:dyDescent="0.35">
      <c r="A671" t="s">
        <v>1702</v>
      </c>
      <c r="B671" t="s">
        <v>141</v>
      </c>
      <c r="C671" t="str">
        <f>TEXT(Table1[[#This Row],[Order_Date]],"mmm")</f>
        <v>Sep</v>
      </c>
      <c r="D671">
        <f>YEAR(Table1[[#This Row],[Order_Date]])</f>
        <v>2025</v>
      </c>
      <c r="E671" t="s">
        <v>63</v>
      </c>
      <c r="F671" t="s">
        <v>104</v>
      </c>
      <c r="G671" t="s">
        <v>65</v>
      </c>
      <c r="H671" t="s">
        <v>1703</v>
      </c>
      <c r="I671" t="s">
        <v>87</v>
      </c>
      <c r="J671" t="s">
        <v>88</v>
      </c>
      <c r="K671">
        <v>16</v>
      </c>
      <c r="L671">
        <v>9942</v>
      </c>
      <c r="M671">
        <v>6062</v>
      </c>
      <c r="N671">
        <v>3880</v>
      </c>
      <c r="O671" s="6">
        <f>Table1[[#This Row],[Profit]]/Table1[[#This Row],[Sales_Amount]]</f>
        <v>0.39026352846509754</v>
      </c>
      <c r="P671" t="s">
        <v>60</v>
      </c>
    </row>
    <row r="672" spans="1:16" x14ac:dyDescent="0.35">
      <c r="A672" t="s">
        <v>1704</v>
      </c>
      <c r="B672" t="s">
        <v>477</v>
      </c>
      <c r="C672" t="str">
        <f>TEXT(Table1[[#This Row],[Order_Date]],"mmm")</f>
        <v>Oct</v>
      </c>
      <c r="D672">
        <f>YEAR(Table1[[#This Row],[Order_Date]])</f>
        <v>2025</v>
      </c>
      <c r="E672" t="s">
        <v>55</v>
      </c>
      <c r="F672" t="s">
        <v>188</v>
      </c>
      <c r="G672" t="s">
        <v>57</v>
      </c>
      <c r="H672" t="s">
        <v>1705</v>
      </c>
      <c r="I672" t="s">
        <v>87</v>
      </c>
      <c r="J672" t="s">
        <v>88</v>
      </c>
      <c r="K672">
        <v>17</v>
      </c>
      <c r="L672">
        <v>96560</v>
      </c>
      <c r="M672">
        <v>50047</v>
      </c>
      <c r="N672">
        <v>46513</v>
      </c>
      <c r="O672" s="6">
        <f>Table1[[#This Row],[Profit]]/Table1[[#This Row],[Sales_Amount]]</f>
        <v>0.48170049710024854</v>
      </c>
      <c r="P672" t="s">
        <v>121</v>
      </c>
    </row>
    <row r="673" spans="1:16" x14ac:dyDescent="0.35">
      <c r="A673" t="s">
        <v>1706</v>
      </c>
      <c r="B673" t="s">
        <v>212</v>
      </c>
      <c r="C673" t="str">
        <f>TEXT(Table1[[#This Row],[Order_Date]],"mmm")</f>
        <v>Feb</v>
      </c>
      <c r="D673">
        <f>YEAR(Table1[[#This Row],[Order_Date]])</f>
        <v>2025</v>
      </c>
      <c r="E673" t="s">
        <v>111</v>
      </c>
      <c r="F673" t="s">
        <v>112</v>
      </c>
      <c r="G673" t="s">
        <v>65</v>
      </c>
      <c r="H673" t="s">
        <v>1207</v>
      </c>
      <c r="I673" t="s">
        <v>82</v>
      </c>
      <c r="J673" t="s">
        <v>83</v>
      </c>
      <c r="K673">
        <v>3</v>
      </c>
      <c r="L673">
        <v>20267</v>
      </c>
      <c r="M673">
        <v>14733</v>
      </c>
      <c r="N673">
        <v>5534</v>
      </c>
      <c r="O673" s="6">
        <f>Table1[[#This Row],[Profit]]/Table1[[#This Row],[Sales_Amount]]</f>
        <v>0.27305471949474514</v>
      </c>
      <c r="P673" t="s">
        <v>98</v>
      </c>
    </row>
    <row r="674" spans="1:16" x14ac:dyDescent="0.35">
      <c r="A674" t="s">
        <v>1707</v>
      </c>
      <c r="B674" t="s">
        <v>69</v>
      </c>
      <c r="C674" t="str">
        <f>TEXT(Table1[[#This Row],[Order_Date]],"mmm")</f>
        <v>Feb</v>
      </c>
      <c r="D674">
        <f>YEAR(Table1[[#This Row],[Order_Date]])</f>
        <v>2025</v>
      </c>
      <c r="E674" t="s">
        <v>63</v>
      </c>
      <c r="F674" t="s">
        <v>64</v>
      </c>
      <c r="G674" t="s">
        <v>138</v>
      </c>
      <c r="H674" t="s">
        <v>664</v>
      </c>
      <c r="I674" t="s">
        <v>125</v>
      </c>
      <c r="J674" t="s">
        <v>83</v>
      </c>
      <c r="K674">
        <v>18</v>
      </c>
      <c r="L674">
        <v>108847</v>
      </c>
      <c r="M674">
        <v>64396</v>
      </c>
      <c r="N674">
        <v>44451</v>
      </c>
      <c r="O674" s="6">
        <f>Table1[[#This Row],[Profit]]/Table1[[#This Row],[Sales_Amount]]</f>
        <v>0.40838057089308849</v>
      </c>
      <c r="P674" t="s">
        <v>52</v>
      </c>
    </row>
    <row r="675" spans="1:16" x14ac:dyDescent="0.35">
      <c r="A675" t="s">
        <v>1708</v>
      </c>
      <c r="B675" t="s">
        <v>1061</v>
      </c>
      <c r="C675" t="str">
        <f>TEXT(Table1[[#This Row],[Order_Date]],"mmm")</f>
        <v>Aug</v>
      </c>
      <c r="D675">
        <f>YEAR(Table1[[#This Row],[Order_Date]])</f>
        <v>2025</v>
      </c>
      <c r="E675" t="s">
        <v>111</v>
      </c>
      <c r="F675" t="s">
        <v>169</v>
      </c>
      <c r="G675" t="s">
        <v>48</v>
      </c>
      <c r="H675" t="s">
        <v>1709</v>
      </c>
      <c r="I675" t="s">
        <v>59</v>
      </c>
      <c r="J675" t="s">
        <v>51</v>
      </c>
      <c r="K675">
        <v>20</v>
      </c>
      <c r="L675">
        <v>110948</v>
      </c>
      <c r="M675">
        <v>89243</v>
      </c>
      <c r="N675">
        <v>21705</v>
      </c>
      <c r="O675" s="6">
        <f>Table1[[#This Row],[Profit]]/Table1[[#This Row],[Sales_Amount]]</f>
        <v>0.19563218805206042</v>
      </c>
      <c r="P675" t="s">
        <v>121</v>
      </c>
    </row>
    <row r="676" spans="1:16" x14ac:dyDescent="0.35">
      <c r="A676" t="s">
        <v>1710</v>
      </c>
      <c r="B676" t="s">
        <v>1321</v>
      </c>
      <c r="C676" t="str">
        <f>TEXT(Table1[[#This Row],[Order_Date]],"mmm")</f>
        <v>Aug</v>
      </c>
      <c r="D676">
        <f>YEAR(Table1[[#This Row],[Order_Date]])</f>
        <v>2025</v>
      </c>
      <c r="E676" t="s">
        <v>63</v>
      </c>
      <c r="F676" t="s">
        <v>64</v>
      </c>
      <c r="G676" t="s">
        <v>138</v>
      </c>
      <c r="H676" t="s">
        <v>1711</v>
      </c>
      <c r="I676" t="s">
        <v>156</v>
      </c>
      <c r="J676" t="s">
        <v>157</v>
      </c>
      <c r="K676">
        <v>2</v>
      </c>
      <c r="L676">
        <v>69579</v>
      </c>
      <c r="M676">
        <v>33490</v>
      </c>
      <c r="N676">
        <v>36089</v>
      </c>
      <c r="O676" s="6">
        <f>Table1[[#This Row],[Profit]]/Table1[[#This Row],[Sales_Amount]]</f>
        <v>0.51867661219620864</v>
      </c>
      <c r="P676" t="s">
        <v>121</v>
      </c>
    </row>
    <row r="677" spans="1:16" x14ac:dyDescent="0.35">
      <c r="A677" t="s">
        <v>1712</v>
      </c>
      <c r="B677" t="s">
        <v>719</v>
      </c>
      <c r="C677" t="str">
        <f>TEXT(Table1[[#This Row],[Order_Date]],"mmm")</f>
        <v>Nov</v>
      </c>
      <c r="D677">
        <f>YEAR(Table1[[#This Row],[Order_Date]])</f>
        <v>2025</v>
      </c>
      <c r="E677" t="s">
        <v>55</v>
      </c>
      <c r="F677" t="s">
        <v>188</v>
      </c>
      <c r="G677" t="s">
        <v>116</v>
      </c>
      <c r="H677" t="s">
        <v>1713</v>
      </c>
      <c r="I677" t="s">
        <v>59</v>
      </c>
      <c r="J677" t="s">
        <v>51</v>
      </c>
      <c r="K677">
        <v>22</v>
      </c>
      <c r="L677">
        <v>62213</v>
      </c>
      <c r="M677">
        <v>46048</v>
      </c>
      <c r="N677">
        <v>16165</v>
      </c>
      <c r="O677" s="6">
        <f>Table1[[#This Row],[Profit]]/Table1[[#This Row],[Sales_Amount]]</f>
        <v>0.25983315384244449</v>
      </c>
      <c r="P677" t="s">
        <v>98</v>
      </c>
    </row>
    <row r="678" spans="1:16" x14ac:dyDescent="0.35">
      <c r="A678" t="s">
        <v>1714</v>
      </c>
      <c r="B678" t="s">
        <v>217</v>
      </c>
      <c r="C678" t="str">
        <f>TEXT(Table1[[#This Row],[Order_Date]],"mmm")</f>
        <v>Aug</v>
      </c>
      <c r="D678">
        <f>YEAR(Table1[[#This Row],[Order_Date]])</f>
        <v>2025</v>
      </c>
      <c r="E678" t="s">
        <v>46</v>
      </c>
      <c r="F678" t="s">
        <v>47</v>
      </c>
      <c r="G678" t="s">
        <v>80</v>
      </c>
      <c r="H678" t="s">
        <v>1715</v>
      </c>
      <c r="I678" t="s">
        <v>76</v>
      </c>
      <c r="J678" t="s">
        <v>77</v>
      </c>
      <c r="K678">
        <v>9</v>
      </c>
      <c r="L678">
        <v>100661</v>
      </c>
      <c r="M678">
        <v>77078</v>
      </c>
      <c r="N678">
        <v>23583</v>
      </c>
      <c r="O678" s="6">
        <f>Table1[[#This Row],[Profit]]/Table1[[#This Row],[Sales_Amount]]</f>
        <v>0.23428139994635461</v>
      </c>
      <c r="P678" t="s">
        <v>52</v>
      </c>
    </row>
    <row r="679" spans="1:16" x14ac:dyDescent="0.35">
      <c r="A679" t="s">
        <v>1716</v>
      </c>
      <c r="B679" t="s">
        <v>1717</v>
      </c>
      <c r="C679" t="str">
        <f>TEXT(Table1[[#This Row],[Order_Date]],"mmm")</f>
        <v>Dec</v>
      </c>
      <c r="D679">
        <f>YEAR(Table1[[#This Row],[Order_Date]])</f>
        <v>2025</v>
      </c>
      <c r="E679" t="s">
        <v>63</v>
      </c>
      <c r="F679" t="s">
        <v>104</v>
      </c>
      <c r="G679" t="s">
        <v>80</v>
      </c>
      <c r="H679" t="s">
        <v>581</v>
      </c>
      <c r="I679" t="s">
        <v>82</v>
      </c>
      <c r="J679" t="s">
        <v>83</v>
      </c>
      <c r="K679">
        <v>7</v>
      </c>
      <c r="L679">
        <v>29125</v>
      </c>
      <c r="M679">
        <v>24424</v>
      </c>
      <c r="N679">
        <v>4701</v>
      </c>
      <c r="O679" s="6">
        <f>Table1[[#This Row],[Profit]]/Table1[[#This Row],[Sales_Amount]]</f>
        <v>0.16140772532188841</v>
      </c>
      <c r="P679" t="s">
        <v>60</v>
      </c>
    </row>
    <row r="680" spans="1:16" x14ac:dyDescent="0.35">
      <c r="A680" t="s">
        <v>1718</v>
      </c>
      <c r="B680" t="s">
        <v>62</v>
      </c>
      <c r="C680" t="str">
        <f>TEXT(Table1[[#This Row],[Order_Date]],"mmm")</f>
        <v>Mar</v>
      </c>
      <c r="D680">
        <f>YEAR(Table1[[#This Row],[Order_Date]])</f>
        <v>2025</v>
      </c>
      <c r="E680" t="s">
        <v>55</v>
      </c>
      <c r="F680" t="s">
        <v>56</v>
      </c>
      <c r="G680" t="s">
        <v>57</v>
      </c>
      <c r="H680" t="s">
        <v>1719</v>
      </c>
      <c r="I680" t="s">
        <v>82</v>
      </c>
      <c r="J680" t="s">
        <v>83</v>
      </c>
      <c r="K680">
        <v>20</v>
      </c>
      <c r="L680">
        <v>109895</v>
      </c>
      <c r="M680">
        <v>90040</v>
      </c>
      <c r="N680">
        <v>19855</v>
      </c>
      <c r="O680" s="6">
        <f>Table1[[#This Row],[Profit]]/Table1[[#This Row],[Sales_Amount]]</f>
        <v>0.18067246007552665</v>
      </c>
      <c r="P680" t="s">
        <v>98</v>
      </c>
    </row>
    <row r="681" spans="1:16" x14ac:dyDescent="0.35">
      <c r="A681" t="s">
        <v>1720</v>
      </c>
      <c r="B681" t="s">
        <v>443</v>
      </c>
      <c r="C681" t="str">
        <f>TEXT(Table1[[#This Row],[Order_Date]],"mmm")</f>
        <v>Dec</v>
      </c>
      <c r="D681">
        <f>YEAR(Table1[[#This Row],[Order_Date]])</f>
        <v>2025</v>
      </c>
      <c r="E681" t="s">
        <v>63</v>
      </c>
      <c r="F681" t="s">
        <v>104</v>
      </c>
      <c r="G681" t="s">
        <v>70</v>
      </c>
      <c r="H681" t="s">
        <v>1721</v>
      </c>
      <c r="I681" t="s">
        <v>156</v>
      </c>
      <c r="J681" t="s">
        <v>157</v>
      </c>
      <c r="K681">
        <v>23</v>
      </c>
      <c r="L681">
        <v>57536</v>
      </c>
      <c r="M681">
        <v>32377</v>
      </c>
      <c r="N681">
        <v>25159</v>
      </c>
      <c r="O681" s="6">
        <f>Table1[[#This Row],[Profit]]/Table1[[#This Row],[Sales_Amount]]</f>
        <v>0.43727405450500556</v>
      </c>
      <c r="P681" t="s">
        <v>60</v>
      </c>
    </row>
    <row r="682" spans="1:16" x14ac:dyDescent="0.35">
      <c r="A682" t="s">
        <v>1722</v>
      </c>
      <c r="B682" t="s">
        <v>1684</v>
      </c>
      <c r="C682" t="str">
        <f>TEXT(Table1[[#This Row],[Order_Date]],"mmm")</f>
        <v>Jul</v>
      </c>
      <c r="D682">
        <f>YEAR(Table1[[#This Row],[Order_Date]])</f>
        <v>2025</v>
      </c>
      <c r="E682" t="s">
        <v>46</v>
      </c>
      <c r="F682" t="s">
        <v>47</v>
      </c>
      <c r="G682" t="s">
        <v>128</v>
      </c>
      <c r="H682" t="s">
        <v>1723</v>
      </c>
      <c r="I682" t="s">
        <v>87</v>
      </c>
      <c r="J682" t="s">
        <v>88</v>
      </c>
      <c r="K682">
        <v>23</v>
      </c>
      <c r="L682">
        <v>23220</v>
      </c>
      <c r="M682">
        <v>14100</v>
      </c>
      <c r="N682">
        <v>9120</v>
      </c>
      <c r="O682" s="6">
        <f>Table1[[#This Row],[Profit]]/Table1[[#This Row],[Sales_Amount]]</f>
        <v>0.39276485788113696</v>
      </c>
      <c r="P682" t="s">
        <v>98</v>
      </c>
    </row>
    <row r="683" spans="1:16" x14ac:dyDescent="0.35">
      <c r="A683" t="s">
        <v>1724</v>
      </c>
      <c r="B683" t="s">
        <v>296</v>
      </c>
      <c r="C683" t="str">
        <f>TEXT(Table1[[#This Row],[Order_Date]],"mmm")</f>
        <v>Jan</v>
      </c>
      <c r="D683">
        <f>YEAR(Table1[[#This Row],[Order_Date]])</f>
        <v>2025</v>
      </c>
      <c r="E683" t="s">
        <v>111</v>
      </c>
      <c r="F683" t="s">
        <v>169</v>
      </c>
      <c r="G683" t="s">
        <v>80</v>
      </c>
      <c r="H683" t="s">
        <v>1725</v>
      </c>
      <c r="I683" t="s">
        <v>50</v>
      </c>
      <c r="J683" t="s">
        <v>51</v>
      </c>
      <c r="K683">
        <v>15</v>
      </c>
      <c r="L683">
        <v>96858</v>
      </c>
      <c r="M683">
        <v>50163</v>
      </c>
      <c r="N683">
        <v>46695</v>
      </c>
      <c r="O683" s="6">
        <f>Table1[[#This Row],[Profit]]/Table1[[#This Row],[Sales_Amount]]</f>
        <v>0.48209750356191539</v>
      </c>
      <c r="P683" t="s">
        <v>52</v>
      </c>
    </row>
    <row r="684" spans="1:16" x14ac:dyDescent="0.35">
      <c r="A684" t="s">
        <v>1726</v>
      </c>
      <c r="B684" t="s">
        <v>942</v>
      </c>
      <c r="C684" t="str">
        <f>TEXT(Table1[[#This Row],[Order_Date]],"mmm")</f>
        <v>Jul</v>
      </c>
      <c r="D684">
        <f>YEAR(Table1[[#This Row],[Order_Date]])</f>
        <v>2025</v>
      </c>
      <c r="E684" t="s">
        <v>55</v>
      </c>
      <c r="F684" t="s">
        <v>188</v>
      </c>
      <c r="G684" t="s">
        <v>128</v>
      </c>
      <c r="H684" t="s">
        <v>1727</v>
      </c>
      <c r="I684" t="s">
        <v>87</v>
      </c>
      <c r="J684" t="s">
        <v>88</v>
      </c>
      <c r="K684">
        <v>13</v>
      </c>
      <c r="L684">
        <v>82689</v>
      </c>
      <c r="M684">
        <v>56463</v>
      </c>
      <c r="N684">
        <v>26226</v>
      </c>
      <c r="O684" s="6">
        <f>Table1[[#This Row],[Profit]]/Table1[[#This Row],[Sales_Amount]]</f>
        <v>0.31716431447955595</v>
      </c>
      <c r="P684" t="s">
        <v>60</v>
      </c>
    </row>
    <row r="685" spans="1:16" x14ac:dyDescent="0.35">
      <c r="A685" t="s">
        <v>1728</v>
      </c>
      <c r="B685" t="s">
        <v>1004</v>
      </c>
      <c r="C685" t="str">
        <f>TEXT(Table1[[#This Row],[Order_Date]],"mmm")</f>
        <v>Oct</v>
      </c>
      <c r="D685">
        <f>YEAR(Table1[[#This Row],[Order_Date]])</f>
        <v>2025</v>
      </c>
      <c r="E685" t="s">
        <v>55</v>
      </c>
      <c r="F685" t="s">
        <v>188</v>
      </c>
      <c r="G685" t="s">
        <v>65</v>
      </c>
      <c r="H685" t="s">
        <v>1729</v>
      </c>
      <c r="I685" t="s">
        <v>67</v>
      </c>
      <c r="J685" t="s">
        <v>51</v>
      </c>
      <c r="K685">
        <v>1</v>
      </c>
      <c r="L685">
        <v>86167</v>
      </c>
      <c r="M685">
        <v>51935</v>
      </c>
      <c r="N685">
        <v>34232</v>
      </c>
      <c r="O685" s="6">
        <f>Table1[[#This Row],[Profit]]/Table1[[#This Row],[Sales_Amount]]</f>
        <v>0.39727505889725767</v>
      </c>
      <c r="P685" t="s">
        <v>60</v>
      </c>
    </row>
    <row r="686" spans="1:16" x14ac:dyDescent="0.35">
      <c r="A686" t="s">
        <v>1730</v>
      </c>
      <c r="B686" t="s">
        <v>90</v>
      </c>
      <c r="C686" t="str">
        <f>TEXT(Table1[[#This Row],[Order_Date]],"mmm")</f>
        <v>Dec</v>
      </c>
      <c r="D686">
        <f>YEAR(Table1[[#This Row],[Order_Date]])</f>
        <v>2025</v>
      </c>
      <c r="E686" t="s">
        <v>111</v>
      </c>
      <c r="F686" t="s">
        <v>112</v>
      </c>
      <c r="G686" t="s">
        <v>70</v>
      </c>
      <c r="H686" t="s">
        <v>1731</v>
      </c>
      <c r="I686" t="s">
        <v>87</v>
      </c>
      <c r="J686" t="s">
        <v>88</v>
      </c>
      <c r="K686">
        <v>5</v>
      </c>
      <c r="L686">
        <v>15527</v>
      </c>
      <c r="M686">
        <v>8285</v>
      </c>
      <c r="N686">
        <v>7242</v>
      </c>
      <c r="O686" s="6">
        <f>Table1[[#This Row],[Profit]]/Table1[[#This Row],[Sales_Amount]]</f>
        <v>0.4664133444966832</v>
      </c>
      <c r="P686" t="s">
        <v>121</v>
      </c>
    </row>
    <row r="687" spans="1:16" x14ac:dyDescent="0.35">
      <c r="A687" t="s">
        <v>1732</v>
      </c>
      <c r="B687" t="s">
        <v>194</v>
      </c>
      <c r="C687" t="str">
        <f>TEXT(Table1[[#This Row],[Order_Date]],"mmm")</f>
        <v>Jun</v>
      </c>
      <c r="D687">
        <f>YEAR(Table1[[#This Row],[Order_Date]])</f>
        <v>2025</v>
      </c>
      <c r="E687" t="s">
        <v>63</v>
      </c>
      <c r="F687" t="s">
        <v>104</v>
      </c>
      <c r="G687" t="s">
        <v>116</v>
      </c>
      <c r="H687" t="s">
        <v>1733</v>
      </c>
      <c r="I687" t="s">
        <v>59</v>
      </c>
      <c r="J687" t="s">
        <v>51</v>
      </c>
      <c r="K687">
        <v>14</v>
      </c>
      <c r="L687">
        <v>74211</v>
      </c>
      <c r="M687">
        <v>51973</v>
      </c>
      <c r="N687">
        <v>22238</v>
      </c>
      <c r="O687" s="6">
        <f>Table1[[#This Row],[Profit]]/Table1[[#This Row],[Sales_Amount]]</f>
        <v>0.29965908019026827</v>
      </c>
      <c r="P687" t="s">
        <v>98</v>
      </c>
    </row>
    <row r="688" spans="1:16" x14ac:dyDescent="0.35">
      <c r="A688" t="s">
        <v>1734</v>
      </c>
      <c r="B688" t="s">
        <v>177</v>
      </c>
      <c r="C688" t="str">
        <f>TEXT(Table1[[#This Row],[Order_Date]],"mmm")</f>
        <v>Nov</v>
      </c>
      <c r="D688">
        <f>YEAR(Table1[[#This Row],[Order_Date]])</f>
        <v>2025</v>
      </c>
      <c r="E688" t="s">
        <v>55</v>
      </c>
      <c r="F688" t="s">
        <v>56</v>
      </c>
      <c r="G688" t="s">
        <v>80</v>
      </c>
      <c r="H688" t="s">
        <v>1735</v>
      </c>
      <c r="I688" t="s">
        <v>50</v>
      </c>
      <c r="J688" t="s">
        <v>51</v>
      </c>
      <c r="K688">
        <v>22</v>
      </c>
      <c r="L688">
        <v>91159</v>
      </c>
      <c r="M688">
        <v>73987</v>
      </c>
      <c r="N688">
        <v>17172</v>
      </c>
      <c r="O688" s="6">
        <f>Table1[[#This Row],[Profit]]/Table1[[#This Row],[Sales_Amount]]</f>
        <v>0.18837415943571123</v>
      </c>
      <c r="P688" t="s">
        <v>60</v>
      </c>
    </row>
    <row r="689" spans="1:16" x14ac:dyDescent="0.35">
      <c r="A689" t="s">
        <v>1736</v>
      </c>
      <c r="B689" t="s">
        <v>657</v>
      </c>
      <c r="C689" t="str">
        <f>TEXT(Table1[[#This Row],[Order_Date]],"mmm")</f>
        <v>Jul</v>
      </c>
      <c r="D689">
        <f>YEAR(Table1[[#This Row],[Order_Date]])</f>
        <v>2025</v>
      </c>
      <c r="E689" t="s">
        <v>46</v>
      </c>
      <c r="F689" t="s">
        <v>74</v>
      </c>
      <c r="G689" t="s">
        <v>138</v>
      </c>
      <c r="H689" t="s">
        <v>1737</v>
      </c>
      <c r="I689" t="s">
        <v>125</v>
      </c>
      <c r="J689" t="s">
        <v>83</v>
      </c>
      <c r="K689">
        <v>17</v>
      </c>
      <c r="L689">
        <v>27200</v>
      </c>
      <c r="M689">
        <v>15141</v>
      </c>
      <c r="N689">
        <v>12059</v>
      </c>
      <c r="O689" s="6">
        <f>Table1[[#This Row],[Profit]]/Table1[[#This Row],[Sales_Amount]]</f>
        <v>0.44334558823529413</v>
      </c>
      <c r="P689" t="s">
        <v>121</v>
      </c>
    </row>
    <row r="690" spans="1:16" x14ac:dyDescent="0.35">
      <c r="A690" t="s">
        <v>1738</v>
      </c>
      <c r="B690" t="s">
        <v>555</v>
      </c>
      <c r="C690" t="str">
        <f>TEXT(Table1[[#This Row],[Order_Date]],"mmm")</f>
        <v>Sep</v>
      </c>
      <c r="D690">
        <f>YEAR(Table1[[#This Row],[Order_Date]])</f>
        <v>2025</v>
      </c>
      <c r="E690" t="s">
        <v>63</v>
      </c>
      <c r="F690" t="s">
        <v>104</v>
      </c>
      <c r="G690" t="s">
        <v>70</v>
      </c>
      <c r="H690" t="s">
        <v>1739</v>
      </c>
      <c r="I690" t="s">
        <v>143</v>
      </c>
      <c r="J690" t="s">
        <v>51</v>
      </c>
      <c r="K690">
        <v>17</v>
      </c>
      <c r="L690">
        <v>98630</v>
      </c>
      <c r="M690">
        <v>73530</v>
      </c>
      <c r="N690">
        <v>25100</v>
      </c>
      <c r="O690" s="6">
        <f>Table1[[#This Row],[Profit]]/Table1[[#This Row],[Sales_Amount]]</f>
        <v>0.25448646456453411</v>
      </c>
      <c r="P690" t="s">
        <v>98</v>
      </c>
    </row>
    <row r="691" spans="1:16" x14ac:dyDescent="0.35">
      <c r="A691" t="s">
        <v>1740</v>
      </c>
      <c r="B691" t="s">
        <v>194</v>
      </c>
      <c r="C691" t="str">
        <f>TEXT(Table1[[#This Row],[Order_Date]],"mmm")</f>
        <v>Jun</v>
      </c>
      <c r="D691">
        <f>YEAR(Table1[[#This Row],[Order_Date]])</f>
        <v>2025</v>
      </c>
      <c r="E691" t="s">
        <v>63</v>
      </c>
      <c r="F691" t="s">
        <v>64</v>
      </c>
      <c r="G691" t="s">
        <v>48</v>
      </c>
      <c r="H691" t="s">
        <v>1741</v>
      </c>
      <c r="I691" t="s">
        <v>82</v>
      </c>
      <c r="J691" t="s">
        <v>83</v>
      </c>
      <c r="K691">
        <v>12</v>
      </c>
      <c r="L691">
        <v>92861</v>
      </c>
      <c r="M691">
        <v>44446</v>
      </c>
      <c r="N691">
        <v>48415</v>
      </c>
      <c r="O691" s="6">
        <f>Table1[[#This Row],[Profit]]/Table1[[#This Row],[Sales_Amount]]</f>
        <v>0.52137065075758393</v>
      </c>
      <c r="P691" t="s">
        <v>98</v>
      </c>
    </row>
    <row r="692" spans="1:16" x14ac:dyDescent="0.35">
      <c r="A692" t="s">
        <v>1742</v>
      </c>
      <c r="B692" t="s">
        <v>1532</v>
      </c>
      <c r="C692" t="str">
        <f>TEXT(Table1[[#This Row],[Order_Date]],"mmm")</f>
        <v>Jul</v>
      </c>
      <c r="D692">
        <f>YEAR(Table1[[#This Row],[Order_Date]])</f>
        <v>2025</v>
      </c>
      <c r="E692" t="s">
        <v>63</v>
      </c>
      <c r="F692" t="s">
        <v>104</v>
      </c>
      <c r="G692" t="s">
        <v>48</v>
      </c>
      <c r="H692" t="s">
        <v>1743</v>
      </c>
      <c r="I692" t="s">
        <v>82</v>
      </c>
      <c r="J692" t="s">
        <v>83</v>
      </c>
      <c r="K692">
        <v>22</v>
      </c>
      <c r="L692">
        <v>40748</v>
      </c>
      <c r="M692">
        <v>18560</v>
      </c>
      <c r="N692">
        <v>22188</v>
      </c>
      <c r="O692" s="6">
        <f>Table1[[#This Row],[Profit]]/Table1[[#This Row],[Sales_Amount]]</f>
        <v>0.54451752233238437</v>
      </c>
      <c r="P692" t="s">
        <v>121</v>
      </c>
    </row>
    <row r="693" spans="1:16" x14ac:dyDescent="0.35">
      <c r="A693" t="s">
        <v>1744</v>
      </c>
      <c r="B693" t="s">
        <v>460</v>
      </c>
      <c r="C693" t="str">
        <f>TEXT(Table1[[#This Row],[Order_Date]],"mmm")</f>
        <v>Nov</v>
      </c>
      <c r="D693">
        <f>YEAR(Table1[[#This Row],[Order_Date]])</f>
        <v>2025</v>
      </c>
      <c r="E693" t="s">
        <v>55</v>
      </c>
      <c r="F693" t="s">
        <v>56</v>
      </c>
      <c r="G693" t="s">
        <v>65</v>
      </c>
      <c r="H693" t="s">
        <v>1745</v>
      </c>
      <c r="I693" t="s">
        <v>82</v>
      </c>
      <c r="J693" t="s">
        <v>83</v>
      </c>
      <c r="K693">
        <v>8</v>
      </c>
      <c r="L693">
        <v>80700</v>
      </c>
      <c r="M693">
        <v>52315</v>
      </c>
      <c r="N693">
        <v>28385</v>
      </c>
      <c r="O693" s="6">
        <f>Table1[[#This Row],[Profit]]/Table1[[#This Row],[Sales_Amount]]</f>
        <v>0.3517348203221809</v>
      </c>
      <c r="P693" t="s">
        <v>121</v>
      </c>
    </row>
    <row r="694" spans="1:16" x14ac:dyDescent="0.35">
      <c r="A694" t="s">
        <v>1746</v>
      </c>
      <c r="B694" t="s">
        <v>722</v>
      </c>
      <c r="C694" t="str">
        <f>TEXT(Table1[[#This Row],[Order_Date]],"mmm")</f>
        <v>Jun</v>
      </c>
      <c r="D694">
        <f>YEAR(Table1[[#This Row],[Order_Date]])</f>
        <v>2025</v>
      </c>
      <c r="E694" t="s">
        <v>111</v>
      </c>
      <c r="F694" t="s">
        <v>112</v>
      </c>
      <c r="G694" t="s">
        <v>128</v>
      </c>
      <c r="H694" t="s">
        <v>1747</v>
      </c>
      <c r="I694" t="s">
        <v>143</v>
      </c>
      <c r="J694" t="s">
        <v>51</v>
      </c>
      <c r="K694">
        <v>19</v>
      </c>
      <c r="L694">
        <v>25278</v>
      </c>
      <c r="M694">
        <v>11765</v>
      </c>
      <c r="N694">
        <v>13513</v>
      </c>
      <c r="O694" s="6">
        <f>Table1[[#This Row],[Profit]]/Table1[[#This Row],[Sales_Amount]]</f>
        <v>0.53457552021520693</v>
      </c>
      <c r="P694" t="s">
        <v>98</v>
      </c>
    </row>
    <row r="695" spans="1:16" x14ac:dyDescent="0.35">
      <c r="A695" t="s">
        <v>1748</v>
      </c>
      <c r="B695" t="s">
        <v>151</v>
      </c>
      <c r="C695" t="str">
        <f>TEXT(Table1[[#This Row],[Order_Date]],"mmm")</f>
        <v>May</v>
      </c>
      <c r="D695">
        <f>YEAR(Table1[[#This Row],[Order_Date]])</f>
        <v>2025</v>
      </c>
      <c r="E695" t="s">
        <v>111</v>
      </c>
      <c r="F695" t="s">
        <v>169</v>
      </c>
      <c r="G695" t="s">
        <v>80</v>
      </c>
      <c r="H695" t="s">
        <v>1749</v>
      </c>
      <c r="I695" t="s">
        <v>143</v>
      </c>
      <c r="J695" t="s">
        <v>51</v>
      </c>
      <c r="K695">
        <v>10</v>
      </c>
      <c r="L695">
        <v>97328</v>
      </c>
      <c r="M695">
        <v>73187</v>
      </c>
      <c r="N695">
        <v>24141</v>
      </c>
      <c r="O695" s="6">
        <f>Table1[[#This Row],[Profit]]/Table1[[#This Row],[Sales_Amount]]</f>
        <v>0.24803756370212066</v>
      </c>
      <c r="P695" t="s">
        <v>121</v>
      </c>
    </row>
    <row r="696" spans="1:16" x14ac:dyDescent="0.35">
      <c r="A696" t="s">
        <v>1750</v>
      </c>
      <c r="B696" t="s">
        <v>1258</v>
      </c>
      <c r="C696" t="str">
        <f>TEXT(Table1[[#This Row],[Order_Date]],"mmm")</f>
        <v>Jan</v>
      </c>
      <c r="D696">
        <f>YEAR(Table1[[#This Row],[Order_Date]])</f>
        <v>2025</v>
      </c>
      <c r="E696" t="s">
        <v>111</v>
      </c>
      <c r="F696" t="s">
        <v>169</v>
      </c>
      <c r="G696" t="s">
        <v>70</v>
      </c>
      <c r="H696" t="s">
        <v>1751</v>
      </c>
      <c r="I696" t="s">
        <v>59</v>
      </c>
      <c r="J696" t="s">
        <v>51</v>
      </c>
      <c r="K696">
        <v>22</v>
      </c>
      <c r="L696">
        <v>67212</v>
      </c>
      <c r="M696">
        <v>44790</v>
      </c>
      <c r="N696">
        <v>22422</v>
      </c>
      <c r="O696" s="6">
        <f>Table1[[#This Row],[Profit]]/Table1[[#This Row],[Sales_Amount]]</f>
        <v>0.33360114265309765</v>
      </c>
      <c r="P696" t="s">
        <v>52</v>
      </c>
    </row>
    <row r="697" spans="1:16" x14ac:dyDescent="0.35">
      <c r="A697" t="s">
        <v>1752</v>
      </c>
      <c r="B697" t="s">
        <v>1603</v>
      </c>
      <c r="C697" t="str">
        <f>TEXT(Table1[[#This Row],[Order_Date]],"mmm")</f>
        <v>May</v>
      </c>
      <c r="D697">
        <f>YEAR(Table1[[#This Row],[Order_Date]])</f>
        <v>2025</v>
      </c>
      <c r="E697" t="s">
        <v>46</v>
      </c>
      <c r="F697" t="s">
        <v>47</v>
      </c>
      <c r="G697" t="s">
        <v>70</v>
      </c>
      <c r="H697" t="s">
        <v>1753</v>
      </c>
      <c r="I697" t="s">
        <v>50</v>
      </c>
      <c r="J697" t="s">
        <v>51</v>
      </c>
      <c r="K697">
        <v>1</v>
      </c>
      <c r="L697">
        <v>23069</v>
      </c>
      <c r="M697">
        <v>16728</v>
      </c>
      <c r="N697">
        <v>6341</v>
      </c>
      <c r="O697" s="6">
        <f>Table1[[#This Row],[Profit]]/Table1[[#This Row],[Sales_Amount]]</f>
        <v>0.27487103905674282</v>
      </c>
      <c r="P697" t="s">
        <v>98</v>
      </c>
    </row>
    <row r="698" spans="1:16" x14ac:dyDescent="0.35">
      <c r="A698" t="s">
        <v>1754</v>
      </c>
      <c r="B698" t="s">
        <v>951</v>
      </c>
      <c r="C698" t="str">
        <f>TEXT(Table1[[#This Row],[Order_Date]],"mmm")</f>
        <v>Nov</v>
      </c>
      <c r="D698">
        <f>YEAR(Table1[[#This Row],[Order_Date]])</f>
        <v>2025</v>
      </c>
      <c r="E698" t="s">
        <v>63</v>
      </c>
      <c r="F698" t="s">
        <v>64</v>
      </c>
      <c r="G698" t="s">
        <v>80</v>
      </c>
      <c r="H698" t="s">
        <v>1755</v>
      </c>
      <c r="I698" t="s">
        <v>125</v>
      </c>
      <c r="J698" t="s">
        <v>83</v>
      </c>
      <c r="K698">
        <v>10</v>
      </c>
      <c r="L698">
        <v>76253</v>
      </c>
      <c r="M698">
        <v>40797</v>
      </c>
      <c r="N698">
        <v>35456</v>
      </c>
      <c r="O698" s="6">
        <f>Table1[[#This Row],[Profit]]/Table1[[#This Row],[Sales_Amount]]</f>
        <v>0.46497842707827891</v>
      </c>
      <c r="P698" t="s">
        <v>121</v>
      </c>
    </row>
    <row r="699" spans="1:16" x14ac:dyDescent="0.35">
      <c r="A699" t="s">
        <v>1756</v>
      </c>
      <c r="B699" t="s">
        <v>388</v>
      </c>
      <c r="C699" t="str">
        <f>TEXT(Table1[[#This Row],[Order_Date]],"mmm")</f>
        <v>Jun</v>
      </c>
      <c r="D699">
        <f>YEAR(Table1[[#This Row],[Order_Date]])</f>
        <v>2025</v>
      </c>
      <c r="E699" t="s">
        <v>111</v>
      </c>
      <c r="F699" t="s">
        <v>169</v>
      </c>
      <c r="G699" t="s">
        <v>65</v>
      </c>
      <c r="H699" t="s">
        <v>1757</v>
      </c>
      <c r="I699" t="s">
        <v>59</v>
      </c>
      <c r="J699" t="s">
        <v>51</v>
      </c>
      <c r="K699">
        <v>10</v>
      </c>
      <c r="L699">
        <v>51345</v>
      </c>
      <c r="M699">
        <v>28537</v>
      </c>
      <c r="N699">
        <v>22808</v>
      </c>
      <c r="O699" s="6">
        <f>Table1[[#This Row],[Profit]]/Table1[[#This Row],[Sales_Amount]]</f>
        <v>0.44421073132729577</v>
      </c>
      <c r="P699" t="s">
        <v>60</v>
      </c>
    </row>
    <row r="700" spans="1:16" x14ac:dyDescent="0.35">
      <c r="A700" t="s">
        <v>1758</v>
      </c>
      <c r="B700" t="s">
        <v>179</v>
      </c>
      <c r="C700" t="str">
        <f>TEXT(Table1[[#This Row],[Order_Date]],"mmm")</f>
        <v>May</v>
      </c>
      <c r="D700">
        <f>YEAR(Table1[[#This Row],[Order_Date]])</f>
        <v>2025</v>
      </c>
      <c r="E700" t="s">
        <v>46</v>
      </c>
      <c r="F700" t="s">
        <v>47</v>
      </c>
      <c r="G700" t="s">
        <v>128</v>
      </c>
      <c r="H700" t="s">
        <v>1759</v>
      </c>
      <c r="I700" t="s">
        <v>67</v>
      </c>
      <c r="J700" t="s">
        <v>51</v>
      </c>
      <c r="K700">
        <v>10</v>
      </c>
      <c r="L700">
        <v>104969</v>
      </c>
      <c r="M700">
        <v>57370</v>
      </c>
      <c r="N700">
        <v>47599</v>
      </c>
      <c r="O700" s="6">
        <f>Table1[[#This Row],[Profit]]/Table1[[#This Row],[Sales_Amount]]</f>
        <v>0.4534576875077404</v>
      </c>
      <c r="P700" t="s">
        <v>52</v>
      </c>
    </row>
    <row r="701" spans="1:16" x14ac:dyDescent="0.35">
      <c r="A701" t="s">
        <v>1760</v>
      </c>
      <c r="B701" t="s">
        <v>232</v>
      </c>
      <c r="C701" t="str">
        <f>TEXT(Table1[[#This Row],[Order_Date]],"mmm")</f>
        <v>Mar</v>
      </c>
      <c r="D701">
        <f>YEAR(Table1[[#This Row],[Order_Date]])</f>
        <v>2025</v>
      </c>
      <c r="E701" t="s">
        <v>46</v>
      </c>
      <c r="F701" t="s">
        <v>47</v>
      </c>
      <c r="G701" t="s">
        <v>57</v>
      </c>
      <c r="H701" t="s">
        <v>1761</v>
      </c>
      <c r="I701" t="s">
        <v>87</v>
      </c>
      <c r="J701" t="s">
        <v>88</v>
      </c>
      <c r="K701">
        <v>14</v>
      </c>
      <c r="L701">
        <v>45591</v>
      </c>
      <c r="M701">
        <v>23439</v>
      </c>
      <c r="N701">
        <v>22152</v>
      </c>
      <c r="O701" s="6">
        <f>Table1[[#This Row],[Profit]]/Table1[[#This Row],[Sales_Amount]]</f>
        <v>0.48588537211291705</v>
      </c>
      <c r="P701" t="s">
        <v>60</v>
      </c>
    </row>
    <row r="702" spans="1:16" x14ac:dyDescent="0.35">
      <c r="A702" t="s">
        <v>1762</v>
      </c>
      <c r="B702" t="s">
        <v>293</v>
      </c>
      <c r="C702" t="str">
        <f>TEXT(Table1[[#This Row],[Order_Date]],"mmm")</f>
        <v>Sep</v>
      </c>
      <c r="D702">
        <f>YEAR(Table1[[#This Row],[Order_Date]])</f>
        <v>2025</v>
      </c>
      <c r="E702" t="s">
        <v>46</v>
      </c>
      <c r="F702" t="s">
        <v>74</v>
      </c>
      <c r="G702" t="s">
        <v>48</v>
      </c>
      <c r="H702" t="s">
        <v>556</v>
      </c>
      <c r="I702" t="s">
        <v>50</v>
      </c>
      <c r="J702" t="s">
        <v>51</v>
      </c>
      <c r="K702">
        <v>8</v>
      </c>
      <c r="L702">
        <v>23389</v>
      </c>
      <c r="M702">
        <v>19262</v>
      </c>
      <c r="N702">
        <v>4127</v>
      </c>
      <c r="O702" s="6">
        <f>Table1[[#This Row],[Profit]]/Table1[[#This Row],[Sales_Amount]]</f>
        <v>0.17645046816879731</v>
      </c>
      <c r="P702" t="s">
        <v>98</v>
      </c>
    </row>
    <row r="703" spans="1:16" x14ac:dyDescent="0.35">
      <c r="A703" t="s">
        <v>1763</v>
      </c>
      <c r="B703" t="s">
        <v>1764</v>
      </c>
      <c r="C703" t="str">
        <f>TEXT(Table1[[#This Row],[Order_Date]],"mmm")</f>
        <v>Nov</v>
      </c>
      <c r="D703">
        <f>YEAR(Table1[[#This Row],[Order_Date]])</f>
        <v>2025</v>
      </c>
      <c r="E703" t="s">
        <v>63</v>
      </c>
      <c r="F703" t="s">
        <v>104</v>
      </c>
      <c r="G703" t="s">
        <v>138</v>
      </c>
      <c r="H703" t="s">
        <v>1765</v>
      </c>
      <c r="I703" t="s">
        <v>82</v>
      </c>
      <c r="J703" t="s">
        <v>83</v>
      </c>
      <c r="K703">
        <v>19</v>
      </c>
      <c r="L703">
        <v>5802</v>
      </c>
      <c r="M703">
        <v>3558</v>
      </c>
      <c r="N703">
        <v>2244</v>
      </c>
      <c r="O703" s="6">
        <f>Table1[[#This Row],[Profit]]/Table1[[#This Row],[Sales_Amount]]</f>
        <v>0.38676318510858326</v>
      </c>
      <c r="P703" t="s">
        <v>121</v>
      </c>
    </row>
    <row r="704" spans="1:16" x14ac:dyDescent="0.35">
      <c r="A704" t="s">
        <v>1766</v>
      </c>
      <c r="B704" t="s">
        <v>1767</v>
      </c>
      <c r="C704" t="str">
        <f>TEXT(Table1[[#This Row],[Order_Date]],"mmm")</f>
        <v>Feb</v>
      </c>
      <c r="D704">
        <f>YEAR(Table1[[#This Row],[Order_Date]])</f>
        <v>2025</v>
      </c>
      <c r="E704" t="s">
        <v>63</v>
      </c>
      <c r="F704" t="s">
        <v>64</v>
      </c>
      <c r="G704" t="s">
        <v>70</v>
      </c>
      <c r="H704" t="s">
        <v>383</v>
      </c>
      <c r="I704" t="s">
        <v>125</v>
      </c>
      <c r="J704" t="s">
        <v>83</v>
      </c>
      <c r="K704">
        <v>5</v>
      </c>
      <c r="L704">
        <v>97949</v>
      </c>
      <c r="M704">
        <v>77218</v>
      </c>
      <c r="N704">
        <v>20731</v>
      </c>
      <c r="O704" s="6">
        <f>Table1[[#This Row],[Profit]]/Table1[[#This Row],[Sales_Amount]]</f>
        <v>0.2116509612145096</v>
      </c>
      <c r="P704" t="s">
        <v>52</v>
      </c>
    </row>
    <row r="705" spans="1:16" x14ac:dyDescent="0.35">
      <c r="A705" t="s">
        <v>1768</v>
      </c>
      <c r="B705" t="s">
        <v>907</v>
      </c>
      <c r="C705" t="str">
        <f>TEXT(Table1[[#This Row],[Order_Date]],"mmm")</f>
        <v>May</v>
      </c>
      <c r="D705">
        <f>YEAR(Table1[[#This Row],[Order_Date]])</f>
        <v>2025</v>
      </c>
      <c r="E705" t="s">
        <v>111</v>
      </c>
      <c r="F705" t="s">
        <v>169</v>
      </c>
      <c r="G705" t="s">
        <v>116</v>
      </c>
      <c r="H705" t="s">
        <v>1769</v>
      </c>
      <c r="I705" t="s">
        <v>125</v>
      </c>
      <c r="J705" t="s">
        <v>83</v>
      </c>
      <c r="K705">
        <v>21</v>
      </c>
      <c r="L705">
        <v>48712</v>
      </c>
      <c r="M705">
        <v>29363</v>
      </c>
      <c r="N705">
        <v>19349</v>
      </c>
      <c r="O705" s="6">
        <f>Table1[[#This Row],[Profit]]/Table1[[#This Row],[Sales_Amount]]</f>
        <v>0.39721218590901625</v>
      </c>
      <c r="P705" t="s">
        <v>98</v>
      </c>
    </row>
    <row r="706" spans="1:16" x14ac:dyDescent="0.35">
      <c r="A706" t="s">
        <v>1770</v>
      </c>
      <c r="B706" t="s">
        <v>1312</v>
      </c>
      <c r="C706" t="str">
        <f>TEXT(Table1[[#This Row],[Order_Date]],"mmm")</f>
        <v>Sep</v>
      </c>
      <c r="D706">
        <f>YEAR(Table1[[#This Row],[Order_Date]])</f>
        <v>2025</v>
      </c>
      <c r="E706" t="s">
        <v>63</v>
      </c>
      <c r="F706" t="s">
        <v>64</v>
      </c>
      <c r="G706" t="s">
        <v>80</v>
      </c>
      <c r="H706" t="s">
        <v>1771</v>
      </c>
      <c r="I706" t="s">
        <v>59</v>
      </c>
      <c r="J706" t="s">
        <v>51</v>
      </c>
      <c r="K706">
        <v>20</v>
      </c>
      <c r="L706">
        <v>7334</v>
      </c>
      <c r="M706">
        <v>3774</v>
      </c>
      <c r="N706">
        <v>3560</v>
      </c>
      <c r="O706" s="6">
        <f>Table1[[#This Row],[Profit]]/Table1[[#This Row],[Sales_Amount]]</f>
        <v>0.48541041723479683</v>
      </c>
      <c r="P706" t="s">
        <v>52</v>
      </c>
    </row>
    <row r="707" spans="1:16" x14ac:dyDescent="0.35">
      <c r="A707" t="s">
        <v>1772</v>
      </c>
      <c r="B707" t="s">
        <v>1773</v>
      </c>
      <c r="C707" t="str">
        <f>TEXT(Table1[[#This Row],[Order_Date]],"mmm")</f>
        <v>Dec</v>
      </c>
      <c r="D707">
        <f>YEAR(Table1[[#This Row],[Order_Date]])</f>
        <v>2025</v>
      </c>
      <c r="E707" t="s">
        <v>46</v>
      </c>
      <c r="F707" t="s">
        <v>47</v>
      </c>
      <c r="G707" t="s">
        <v>70</v>
      </c>
      <c r="H707" t="s">
        <v>1774</v>
      </c>
      <c r="I707" t="s">
        <v>67</v>
      </c>
      <c r="J707" t="s">
        <v>51</v>
      </c>
      <c r="K707">
        <v>9</v>
      </c>
      <c r="L707">
        <v>13014</v>
      </c>
      <c r="M707">
        <v>10670</v>
      </c>
      <c r="N707">
        <v>2344</v>
      </c>
      <c r="O707" s="6">
        <f>Table1[[#This Row],[Profit]]/Table1[[#This Row],[Sales_Amount]]</f>
        <v>0.18011372368218842</v>
      </c>
      <c r="P707" t="s">
        <v>121</v>
      </c>
    </row>
    <row r="708" spans="1:16" x14ac:dyDescent="0.35">
      <c r="A708" t="s">
        <v>1775</v>
      </c>
      <c r="B708" t="s">
        <v>226</v>
      </c>
      <c r="C708" t="str">
        <f>TEXT(Table1[[#This Row],[Order_Date]],"mmm")</f>
        <v>May</v>
      </c>
      <c r="D708">
        <f>YEAR(Table1[[#This Row],[Order_Date]])</f>
        <v>2025</v>
      </c>
      <c r="E708" t="s">
        <v>46</v>
      </c>
      <c r="F708" t="s">
        <v>74</v>
      </c>
      <c r="G708" t="s">
        <v>128</v>
      </c>
      <c r="H708" t="s">
        <v>1776</v>
      </c>
      <c r="I708" t="s">
        <v>76</v>
      </c>
      <c r="J708" t="s">
        <v>77</v>
      </c>
      <c r="K708">
        <v>11</v>
      </c>
      <c r="L708">
        <v>52075</v>
      </c>
      <c r="M708">
        <v>39510</v>
      </c>
      <c r="N708">
        <v>12565</v>
      </c>
      <c r="O708" s="6">
        <f>Table1[[#This Row],[Profit]]/Table1[[#This Row],[Sales_Amount]]</f>
        <v>0.24128660585693712</v>
      </c>
      <c r="P708" t="s">
        <v>121</v>
      </c>
    </row>
    <row r="709" spans="1:16" x14ac:dyDescent="0.35">
      <c r="A709" t="s">
        <v>1777</v>
      </c>
      <c r="B709" t="s">
        <v>934</v>
      </c>
      <c r="C709" t="str">
        <f>TEXT(Table1[[#This Row],[Order_Date]],"mmm")</f>
        <v>Apr</v>
      </c>
      <c r="D709">
        <f>YEAR(Table1[[#This Row],[Order_Date]])</f>
        <v>2025</v>
      </c>
      <c r="E709" t="s">
        <v>46</v>
      </c>
      <c r="F709" t="s">
        <v>47</v>
      </c>
      <c r="G709" t="s">
        <v>57</v>
      </c>
      <c r="H709" t="s">
        <v>1747</v>
      </c>
      <c r="I709" t="s">
        <v>67</v>
      </c>
      <c r="J709" t="s">
        <v>51</v>
      </c>
      <c r="K709">
        <v>24</v>
      </c>
      <c r="L709">
        <v>95676</v>
      </c>
      <c r="M709">
        <v>50146</v>
      </c>
      <c r="N709">
        <v>45530</v>
      </c>
      <c r="O709" s="6">
        <f>Table1[[#This Row],[Profit]]/Table1[[#This Row],[Sales_Amount]]</f>
        <v>0.47587691793135167</v>
      </c>
      <c r="P709" t="s">
        <v>98</v>
      </c>
    </row>
    <row r="710" spans="1:16" x14ac:dyDescent="0.35">
      <c r="A710" t="s">
        <v>1778</v>
      </c>
      <c r="B710" t="s">
        <v>1684</v>
      </c>
      <c r="C710" t="str">
        <f>TEXT(Table1[[#This Row],[Order_Date]],"mmm")</f>
        <v>Jul</v>
      </c>
      <c r="D710">
        <f>YEAR(Table1[[#This Row],[Order_Date]])</f>
        <v>2025</v>
      </c>
      <c r="E710" t="s">
        <v>46</v>
      </c>
      <c r="F710" t="s">
        <v>74</v>
      </c>
      <c r="G710" t="s">
        <v>65</v>
      </c>
      <c r="H710" t="s">
        <v>1779</v>
      </c>
      <c r="I710" t="s">
        <v>87</v>
      </c>
      <c r="J710" t="s">
        <v>88</v>
      </c>
      <c r="K710">
        <v>14</v>
      </c>
      <c r="L710">
        <v>56557</v>
      </c>
      <c r="M710">
        <v>34639</v>
      </c>
      <c r="N710">
        <v>21918</v>
      </c>
      <c r="O710" s="6">
        <f>Table1[[#This Row],[Profit]]/Table1[[#This Row],[Sales_Amount]]</f>
        <v>0.38753823576215146</v>
      </c>
      <c r="P710" t="s">
        <v>52</v>
      </c>
    </row>
    <row r="711" spans="1:16" x14ac:dyDescent="0.35">
      <c r="A711" t="s">
        <v>1780</v>
      </c>
      <c r="B711" t="s">
        <v>1781</v>
      </c>
      <c r="C711" t="str">
        <f>TEXT(Table1[[#This Row],[Order_Date]],"mmm")</f>
        <v>Dec</v>
      </c>
      <c r="D711">
        <f>YEAR(Table1[[#This Row],[Order_Date]])</f>
        <v>2025</v>
      </c>
      <c r="E711" t="s">
        <v>46</v>
      </c>
      <c r="F711" t="s">
        <v>74</v>
      </c>
      <c r="G711" t="s">
        <v>57</v>
      </c>
      <c r="H711" t="s">
        <v>1782</v>
      </c>
      <c r="I711" t="s">
        <v>67</v>
      </c>
      <c r="J711" t="s">
        <v>51</v>
      </c>
      <c r="K711">
        <v>4</v>
      </c>
      <c r="L711">
        <v>112108</v>
      </c>
      <c r="M711">
        <v>51381</v>
      </c>
      <c r="N711">
        <v>60727</v>
      </c>
      <c r="O711" s="6">
        <f>Table1[[#This Row],[Profit]]/Table1[[#This Row],[Sales_Amount]]</f>
        <v>0.54168301994505297</v>
      </c>
      <c r="P711" t="s">
        <v>60</v>
      </c>
    </row>
    <row r="712" spans="1:16" x14ac:dyDescent="0.35">
      <c r="A712" t="s">
        <v>1783</v>
      </c>
      <c r="B712" t="s">
        <v>271</v>
      </c>
      <c r="C712" t="str">
        <f>TEXT(Table1[[#This Row],[Order_Date]],"mmm")</f>
        <v>Aug</v>
      </c>
      <c r="D712">
        <f>YEAR(Table1[[#This Row],[Order_Date]])</f>
        <v>2025</v>
      </c>
      <c r="E712" t="s">
        <v>46</v>
      </c>
      <c r="F712" t="s">
        <v>74</v>
      </c>
      <c r="G712" t="s">
        <v>70</v>
      </c>
      <c r="H712" t="s">
        <v>1784</v>
      </c>
      <c r="I712" t="s">
        <v>82</v>
      </c>
      <c r="J712" t="s">
        <v>83</v>
      </c>
      <c r="K712">
        <v>6</v>
      </c>
      <c r="L712">
        <v>36574</v>
      </c>
      <c r="M712">
        <v>30356</v>
      </c>
      <c r="N712">
        <v>6218</v>
      </c>
      <c r="O712" s="6">
        <f>Table1[[#This Row],[Profit]]/Table1[[#This Row],[Sales_Amount]]</f>
        <v>0.17001148356756166</v>
      </c>
      <c r="P712" t="s">
        <v>52</v>
      </c>
    </row>
    <row r="713" spans="1:16" x14ac:dyDescent="0.35">
      <c r="A713" t="s">
        <v>1785</v>
      </c>
      <c r="B713" t="s">
        <v>1786</v>
      </c>
      <c r="C713" t="str">
        <f>TEXT(Table1[[#This Row],[Order_Date]],"mmm")</f>
        <v>Jan</v>
      </c>
      <c r="D713">
        <f>YEAR(Table1[[#This Row],[Order_Date]])</f>
        <v>2025</v>
      </c>
      <c r="E713" t="s">
        <v>111</v>
      </c>
      <c r="F713" t="s">
        <v>169</v>
      </c>
      <c r="G713" t="s">
        <v>138</v>
      </c>
      <c r="H713" t="s">
        <v>1787</v>
      </c>
      <c r="I713" t="s">
        <v>82</v>
      </c>
      <c r="J713" t="s">
        <v>83</v>
      </c>
      <c r="K713">
        <v>16</v>
      </c>
      <c r="L713">
        <v>82009</v>
      </c>
      <c r="M713">
        <v>67073</v>
      </c>
      <c r="N713">
        <v>14936</v>
      </c>
      <c r="O713" s="6">
        <f>Table1[[#This Row],[Profit]]/Table1[[#This Row],[Sales_Amount]]</f>
        <v>0.18212635198575766</v>
      </c>
      <c r="P713" t="s">
        <v>52</v>
      </c>
    </row>
    <row r="714" spans="1:16" x14ac:dyDescent="0.35">
      <c r="A714" t="s">
        <v>1788</v>
      </c>
      <c r="B714" t="s">
        <v>175</v>
      </c>
      <c r="C714" t="str">
        <f>TEXT(Table1[[#This Row],[Order_Date]],"mmm")</f>
        <v>Jan</v>
      </c>
      <c r="D714">
        <f>YEAR(Table1[[#This Row],[Order_Date]])</f>
        <v>2025</v>
      </c>
      <c r="E714" t="s">
        <v>55</v>
      </c>
      <c r="F714" t="s">
        <v>56</v>
      </c>
      <c r="G714" t="s">
        <v>48</v>
      </c>
      <c r="H714" t="s">
        <v>1190</v>
      </c>
      <c r="I714" t="s">
        <v>50</v>
      </c>
      <c r="J714" t="s">
        <v>51</v>
      </c>
      <c r="K714">
        <v>23</v>
      </c>
      <c r="L714">
        <v>35328</v>
      </c>
      <c r="M714">
        <v>24965</v>
      </c>
      <c r="N714">
        <v>10363</v>
      </c>
      <c r="O714" s="6">
        <f>Table1[[#This Row],[Profit]]/Table1[[#This Row],[Sales_Amount]]</f>
        <v>0.29333673007246375</v>
      </c>
      <c r="P714" t="s">
        <v>52</v>
      </c>
    </row>
    <row r="715" spans="1:16" x14ac:dyDescent="0.35">
      <c r="A715" t="s">
        <v>1789</v>
      </c>
      <c r="B715" t="s">
        <v>1178</v>
      </c>
      <c r="C715" t="str">
        <f>TEXT(Table1[[#This Row],[Order_Date]],"mmm")</f>
        <v>Dec</v>
      </c>
      <c r="D715">
        <f>YEAR(Table1[[#This Row],[Order_Date]])</f>
        <v>2025</v>
      </c>
      <c r="E715" t="s">
        <v>63</v>
      </c>
      <c r="F715" t="s">
        <v>104</v>
      </c>
      <c r="G715" t="s">
        <v>80</v>
      </c>
      <c r="H715" t="s">
        <v>1790</v>
      </c>
      <c r="I715" t="s">
        <v>82</v>
      </c>
      <c r="J715" t="s">
        <v>83</v>
      </c>
      <c r="K715">
        <v>13</v>
      </c>
      <c r="L715">
        <v>97187</v>
      </c>
      <c r="M715">
        <v>61174</v>
      </c>
      <c r="N715">
        <v>36013</v>
      </c>
      <c r="O715" s="6">
        <f>Table1[[#This Row],[Profit]]/Table1[[#This Row],[Sales_Amount]]</f>
        <v>0.37055367487421159</v>
      </c>
      <c r="P715" t="s">
        <v>60</v>
      </c>
    </row>
    <row r="716" spans="1:16" x14ac:dyDescent="0.35">
      <c r="A716" t="s">
        <v>1791</v>
      </c>
      <c r="B716" t="s">
        <v>1192</v>
      </c>
      <c r="C716" t="str">
        <f>TEXT(Table1[[#This Row],[Order_Date]],"mmm")</f>
        <v>Feb</v>
      </c>
      <c r="D716">
        <f>YEAR(Table1[[#This Row],[Order_Date]])</f>
        <v>2025</v>
      </c>
      <c r="E716" t="s">
        <v>63</v>
      </c>
      <c r="F716" t="s">
        <v>104</v>
      </c>
      <c r="G716" t="s">
        <v>70</v>
      </c>
      <c r="H716" t="s">
        <v>1792</v>
      </c>
      <c r="I716" t="s">
        <v>87</v>
      </c>
      <c r="J716" t="s">
        <v>88</v>
      </c>
      <c r="K716">
        <v>19</v>
      </c>
      <c r="L716">
        <v>94323</v>
      </c>
      <c r="M716">
        <v>49444</v>
      </c>
      <c r="N716">
        <v>44879</v>
      </c>
      <c r="O716" s="6">
        <f>Table1[[#This Row],[Profit]]/Table1[[#This Row],[Sales_Amount]]</f>
        <v>0.47580123617781456</v>
      </c>
      <c r="P716" t="s">
        <v>121</v>
      </c>
    </row>
    <row r="717" spans="1:16" x14ac:dyDescent="0.35">
      <c r="A717" t="s">
        <v>1793</v>
      </c>
      <c r="B717" t="s">
        <v>565</v>
      </c>
      <c r="C717" t="str">
        <f>TEXT(Table1[[#This Row],[Order_Date]],"mmm")</f>
        <v>Dec</v>
      </c>
      <c r="D717">
        <f>YEAR(Table1[[#This Row],[Order_Date]])</f>
        <v>2025</v>
      </c>
      <c r="E717" t="s">
        <v>46</v>
      </c>
      <c r="F717" t="s">
        <v>47</v>
      </c>
      <c r="G717" t="s">
        <v>48</v>
      </c>
      <c r="H717" t="s">
        <v>1794</v>
      </c>
      <c r="I717" t="s">
        <v>50</v>
      </c>
      <c r="J717" t="s">
        <v>51</v>
      </c>
      <c r="K717">
        <v>9</v>
      </c>
      <c r="L717">
        <v>36913</v>
      </c>
      <c r="M717">
        <v>23833</v>
      </c>
      <c r="N717">
        <v>13080</v>
      </c>
      <c r="O717" s="6">
        <f>Table1[[#This Row],[Profit]]/Table1[[#This Row],[Sales_Amount]]</f>
        <v>0.3543467071221521</v>
      </c>
      <c r="P717" t="s">
        <v>60</v>
      </c>
    </row>
    <row r="718" spans="1:16" x14ac:dyDescent="0.35">
      <c r="A718" t="s">
        <v>1795</v>
      </c>
      <c r="B718" t="s">
        <v>1130</v>
      </c>
      <c r="C718" t="str">
        <f>TEXT(Table1[[#This Row],[Order_Date]],"mmm")</f>
        <v>Nov</v>
      </c>
      <c r="D718">
        <f>YEAR(Table1[[#This Row],[Order_Date]])</f>
        <v>2025</v>
      </c>
      <c r="E718" t="s">
        <v>46</v>
      </c>
      <c r="F718" t="s">
        <v>47</v>
      </c>
      <c r="G718" t="s">
        <v>116</v>
      </c>
      <c r="H718" t="s">
        <v>1796</v>
      </c>
      <c r="I718" t="s">
        <v>67</v>
      </c>
      <c r="J718" t="s">
        <v>51</v>
      </c>
      <c r="K718">
        <v>2</v>
      </c>
      <c r="L718">
        <v>67472</v>
      </c>
      <c r="M718">
        <v>38924</v>
      </c>
      <c r="N718">
        <v>28548</v>
      </c>
      <c r="O718" s="6">
        <f>Table1[[#This Row],[Profit]]/Table1[[#This Row],[Sales_Amount]]</f>
        <v>0.423108845150581</v>
      </c>
      <c r="P718" t="s">
        <v>52</v>
      </c>
    </row>
    <row r="719" spans="1:16" x14ac:dyDescent="0.35">
      <c r="A719" t="s">
        <v>1797</v>
      </c>
      <c r="B719" t="s">
        <v>127</v>
      </c>
      <c r="C719" t="str">
        <f>TEXT(Table1[[#This Row],[Order_Date]],"mmm")</f>
        <v>Apr</v>
      </c>
      <c r="D719">
        <f>YEAR(Table1[[#This Row],[Order_Date]])</f>
        <v>2025</v>
      </c>
      <c r="E719" t="s">
        <v>111</v>
      </c>
      <c r="F719" t="s">
        <v>169</v>
      </c>
      <c r="G719" t="s">
        <v>48</v>
      </c>
      <c r="H719" t="s">
        <v>1798</v>
      </c>
      <c r="I719" t="s">
        <v>143</v>
      </c>
      <c r="J719" t="s">
        <v>51</v>
      </c>
      <c r="K719">
        <v>2</v>
      </c>
      <c r="L719">
        <v>114111</v>
      </c>
      <c r="M719">
        <v>96234</v>
      </c>
      <c r="N719">
        <v>17877</v>
      </c>
      <c r="O719" s="6">
        <f>Table1[[#This Row],[Profit]]/Table1[[#This Row],[Sales_Amount]]</f>
        <v>0.15666324894181979</v>
      </c>
      <c r="P719" t="s">
        <v>52</v>
      </c>
    </row>
    <row r="720" spans="1:16" x14ac:dyDescent="0.35">
      <c r="A720" t="s">
        <v>1799</v>
      </c>
      <c r="B720" t="s">
        <v>1800</v>
      </c>
      <c r="C720" t="str">
        <f>TEXT(Table1[[#This Row],[Order_Date]],"mmm")</f>
        <v>May</v>
      </c>
      <c r="D720">
        <f>YEAR(Table1[[#This Row],[Order_Date]])</f>
        <v>2025</v>
      </c>
      <c r="E720" t="s">
        <v>111</v>
      </c>
      <c r="F720" t="s">
        <v>169</v>
      </c>
      <c r="G720" t="s">
        <v>116</v>
      </c>
      <c r="H720" t="s">
        <v>1801</v>
      </c>
      <c r="I720" t="s">
        <v>50</v>
      </c>
      <c r="J720" t="s">
        <v>51</v>
      </c>
      <c r="K720">
        <v>2</v>
      </c>
      <c r="L720">
        <v>103725</v>
      </c>
      <c r="M720">
        <v>50622</v>
      </c>
      <c r="N720">
        <v>53103</v>
      </c>
      <c r="O720" s="6">
        <f>Table1[[#This Row],[Profit]]/Table1[[#This Row],[Sales_Amount]]</f>
        <v>0.51195950831525672</v>
      </c>
      <c r="P720" t="s">
        <v>52</v>
      </c>
    </row>
    <row r="721" spans="1:16" x14ac:dyDescent="0.35">
      <c r="A721" t="s">
        <v>1802</v>
      </c>
      <c r="B721" t="s">
        <v>518</v>
      </c>
      <c r="C721" t="str">
        <f>TEXT(Table1[[#This Row],[Order_Date]],"mmm")</f>
        <v>Nov</v>
      </c>
      <c r="D721">
        <f>YEAR(Table1[[#This Row],[Order_Date]])</f>
        <v>2025</v>
      </c>
      <c r="E721" t="s">
        <v>63</v>
      </c>
      <c r="F721" t="s">
        <v>64</v>
      </c>
      <c r="G721" t="s">
        <v>57</v>
      </c>
      <c r="H721" t="s">
        <v>1803</v>
      </c>
      <c r="I721" t="s">
        <v>82</v>
      </c>
      <c r="J721" t="s">
        <v>83</v>
      </c>
      <c r="K721">
        <v>14</v>
      </c>
      <c r="L721">
        <v>18576</v>
      </c>
      <c r="M721">
        <v>14342</v>
      </c>
      <c r="N721">
        <v>4234</v>
      </c>
      <c r="O721" s="6">
        <f>Table1[[#This Row],[Profit]]/Table1[[#This Row],[Sales_Amount]]</f>
        <v>0.2279285099052541</v>
      </c>
      <c r="P721" t="s">
        <v>60</v>
      </c>
    </row>
    <row r="722" spans="1:16" x14ac:dyDescent="0.35">
      <c r="A722" t="s">
        <v>1804</v>
      </c>
      <c r="B722" t="s">
        <v>148</v>
      </c>
      <c r="C722" t="str">
        <f>TEXT(Table1[[#This Row],[Order_Date]],"mmm")</f>
        <v>Feb</v>
      </c>
      <c r="D722">
        <f>YEAR(Table1[[#This Row],[Order_Date]])</f>
        <v>2025</v>
      </c>
      <c r="E722" t="s">
        <v>55</v>
      </c>
      <c r="F722" t="s">
        <v>188</v>
      </c>
      <c r="G722" t="s">
        <v>70</v>
      </c>
      <c r="H722" t="s">
        <v>1805</v>
      </c>
      <c r="I722" t="s">
        <v>82</v>
      </c>
      <c r="J722" t="s">
        <v>83</v>
      </c>
      <c r="K722">
        <v>10</v>
      </c>
      <c r="L722">
        <v>80130</v>
      </c>
      <c r="M722">
        <v>59381</v>
      </c>
      <c r="N722">
        <v>20749</v>
      </c>
      <c r="O722" s="6">
        <f>Table1[[#This Row],[Profit]]/Table1[[#This Row],[Sales_Amount]]</f>
        <v>0.25894171970547858</v>
      </c>
      <c r="P722" t="s">
        <v>98</v>
      </c>
    </row>
    <row r="723" spans="1:16" x14ac:dyDescent="0.35">
      <c r="A723" t="s">
        <v>1806</v>
      </c>
      <c r="B723" t="s">
        <v>1807</v>
      </c>
      <c r="C723" t="str">
        <f>TEXT(Table1[[#This Row],[Order_Date]],"mmm")</f>
        <v>Aug</v>
      </c>
      <c r="D723">
        <f>YEAR(Table1[[#This Row],[Order_Date]])</f>
        <v>2025</v>
      </c>
      <c r="E723" t="s">
        <v>46</v>
      </c>
      <c r="F723" t="s">
        <v>47</v>
      </c>
      <c r="G723" t="s">
        <v>65</v>
      </c>
      <c r="H723" t="s">
        <v>1557</v>
      </c>
      <c r="I723" t="s">
        <v>50</v>
      </c>
      <c r="J723" t="s">
        <v>51</v>
      </c>
      <c r="K723">
        <v>19</v>
      </c>
      <c r="L723">
        <v>85290</v>
      </c>
      <c r="M723">
        <v>63984</v>
      </c>
      <c r="N723">
        <v>21306</v>
      </c>
      <c r="O723" s="6">
        <f>Table1[[#This Row],[Profit]]/Table1[[#This Row],[Sales_Amount]]</f>
        <v>0.24980654238480479</v>
      </c>
      <c r="P723" t="s">
        <v>98</v>
      </c>
    </row>
    <row r="724" spans="1:16" x14ac:dyDescent="0.35">
      <c r="A724" t="s">
        <v>1808</v>
      </c>
      <c r="B724" t="s">
        <v>1209</v>
      </c>
      <c r="C724" t="str">
        <f>TEXT(Table1[[#This Row],[Order_Date]],"mmm")</f>
        <v>Jul</v>
      </c>
      <c r="D724">
        <f>YEAR(Table1[[#This Row],[Order_Date]])</f>
        <v>2025</v>
      </c>
      <c r="E724" t="s">
        <v>63</v>
      </c>
      <c r="F724" t="s">
        <v>64</v>
      </c>
      <c r="G724" t="s">
        <v>70</v>
      </c>
      <c r="H724" t="s">
        <v>1809</v>
      </c>
      <c r="I724" t="s">
        <v>76</v>
      </c>
      <c r="J724" t="s">
        <v>77</v>
      </c>
      <c r="K724">
        <v>5</v>
      </c>
      <c r="L724">
        <v>110165</v>
      </c>
      <c r="M724">
        <v>64529</v>
      </c>
      <c r="N724">
        <v>45636</v>
      </c>
      <c r="O724" s="6">
        <f>Table1[[#This Row],[Profit]]/Table1[[#This Row],[Sales_Amount]]</f>
        <v>0.41425135024735626</v>
      </c>
      <c r="P724" t="s">
        <v>98</v>
      </c>
    </row>
    <row r="725" spans="1:16" x14ac:dyDescent="0.35">
      <c r="A725" t="s">
        <v>1810</v>
      </c>
      <c r="B725" t="s">
        <v>1285</v>
      </c>
      <c r="C725" t="str">
        <f>TEXT(Table1[[#This Row],[Order_Date]],"mmm")</f>
        <v>Apr</v>
      </c>
      <c r="D725">
        <f>YEAR(Table1[[#This Row],[Order_Date]])</f>
        <v>2025</v>
      </c>
      <c r="E725" t="s">
        <v>63</v>
      </c>
      <c r="F725" t="s">
        <v>104</v>
      </c>
      <c r="G725" t="s">
        <v>138</v>
      </c>
      <c r="H725" t="s">
        <v>1811</v>
      </c>
      <c r="I725" t="s">
        <v>50</v>
      </c>
      <c r="J725" t="s">
        <v>51</v>
      </c>
      <c r="K725">
        <v>6</v>
      </c>
      <c r="L725">
        <v>99147</v>
      </c>
      <c r="M725">
        <v>78818</v>
      </c>
      <c r="N725">
        <v>20329</v>
      </c>
      <c r="O725" s="6">
        <f>Table1[[#This Row],[Profit]]/Table1[[#This Row],[Sales_Amount]]</f>
        <v>0.2050389825209033</v>
      </c>
      <c r="P725" t="s">
        <v>60</v>
      </c>
    </row>
    <row r="726" spans="1:16" x14ac:dyDescent="0.35">
      <c r="A726" t="s">
        <v>1812</v>
      </c>
      <c r="B726" t="s">
        <v>1813</v>
      </c>
      <c r="C726" t="str">
        <f>TEXT(Table1[[#This Row],[Order_Date]],"mmm")</f>
        <v>Nov</v>
      </c>
      <c r="D726">
        <f>YEAR(Table1[[#This Row],[Order_Date]])</f>
        <v>2025</v>
      </c>
      <c r="E726" t="s">
        <v>111</v>
      </c>
      <c r="F726" t="s">
        <v>112</v>
      </c>
      <c r="G726" t="s">
        <v>128</v>
      </c>
      <c r="H726" t="s">
        <v>1814</v>
      </c>
      <c r="I726" t="s">
        <v>125</v>
      </c>
      <c r="J726" t="s">
        <v>83</v>
      </c>
      <c r="K726">
        <v>14</v>
      </c>
      <c r="L726">
        <v>22807</v>
      </c>
      <c r="M726">
        <v>19381</v>
      </c>
      <c r="N726">
        <v>3426</v>
      </c>
      <c r="O726" s="6">
        <f>Table1[[#This Row],[Profit]]/Table1[[#This Row],[Sales_Amount]]</f>
        <v>0.15021703862849126</v>
      </c>
      <c r="P726" t="s">
        <v>121</v>
      </c>
    </row>
    <row r="727" spans="1:16" x14ac:dyDescent="0.35">
      <c r="A727" t="s">
        <v>1815</v>
      </c>
      <c r="B727" t="s">
        <v>1816</v>
      </c>
      <c r="C727" t="str">
        <f>TEXT(Table1[[#This Row],[Order_Date]],"mmm")</f>
        <v>Aug</v>
      </c>
      <c r="D727">
        <f>YEAR(Table1[[#This Row],[Order_Date]])</f>
        <v>2025</v>
      </c>
      <c r="E727" t="s">
        <v>55</v>
      </c>
      <c r="F727" t="s">
        <v>188</v>
      </c>
      <c r="G727" t="s">
        <v>138</v>
      </c>
      <c r="H727" t="s">
        <v>1817</v>
      </c>
      <c r="I727" t="s">
        <v>87</v>
      </c>
      <c r="J727" t="s">
        <v>88</v>
      </c>
      <c r="K727">
        <v>5</v>
      </c>
      <c r="L727">
        <v>101756</v>
      </c>
      <c r="M727">
        <v>60597</v>
      </c>
      <c r="N727">
        <v>41159</v>
      </c>
      <c r="O727" s="6">
        <f>Table1[[#This Row],[Profit]]/Table1[[#This Row],[Sales_Amount]]</f>
        <v>0.4044872046857188</v>
      </c>
      <c r="P727" t="s">
        <v>52</v>
      </c>
    </row>
    <row r="728" spans="1:16" x14ac:dyDescent="0.35">
      <c r="A728" t="s">
        <v>1818</v>
      </c>
      <c r="B728" t="s">
        <v>137</v>
      </c>
      <c r="C728" t="str">
        <f>TEXT(Table1[[#This Row],[Order_Date]],"mmm")</f>
        <v>Jul</v>
      </c>
      <c r="D728">
        <f>YEAR(Table1[[#This Row],[Order_Date]])</f>
        <v>2025</v>
      </c>
      <c r="E728" t="s">
        <v>63</v>
      </c>
      <c r="F728" t="s">
        <v>64</v>
      </c>
      <c r="G728" t="s">
        <v>65</v>
      </c>
      <c r="H728" t="s">
        <v>1819</v>
      </c>
      <c r="I728" t="s">
        <v>67</v>
      </c>
      <c r="J728" t="s">
        <v>51</v>
      </c>
      <c r="K728">
        <v>1</v>
      </c>
      <c r="L728">
        <v>67443</v>
      </c>
      <c r="M728">
        <v>57323</v>
      </c>
      <c r="N728">
        <v>10120</v>
      </c>
      <c r="O728" s="6">
        <f>Table1[[#This Row],[Profit]]/Table1[[#This Row],[Sales_Amount]]</f>
        <v>0.15005263704164998</v>
      </c>
      <c r="P728" t="s">
        <v>98</v>
      </c>
    </row>
    <row r="729" spans="1:16" x14ac:dyDescent="0.35">
      <c r="A729" t="s">
        <v>1820</v>
      </c>
      <c r="B729" t="s">
        <v>382</v>
      </c>
      <c r="C729" t="str">
        <f>TEXT(Table1[[#This Row],[Order_Date]],"mmm")</f>
        <v>Jul</v>
      </c>
      <c r="D729">
        <f>YEAR(Table1[[#This Row],[Order_Date]])</f>
        <v>2025</v>
      </c>
      <c r="E729" t="s">
        <v>111</v>
      </c>
      <c r="F729" t="s">
        <v>112</v>
      </c>
      <c r="G729" t="s">
        <v>70</v>
      </c>
      <c r="H729" t="s">
        <v>1821</v>
      </c>
      <c r="I729" t="s">
        <v>50</v>
      </c>
      <c r="J729" t="s">
        <v>51</v>
      </c>
      <c r="K729">
        <v>18</v>
      </c>
      <c r="L729">
        <v>83821</v>
      </c>
      <c r="M729">
        <v>46494</v>
      </c>
      <c r="N729">
        <v>37327</v>
      </c>
      <c r="O729" s="6">
        <f>Table1[[#This Row],[Profit]]/Table1[[#This Row],[Sales_Amount]]</f>
        <v>0.44531799906944558</v>
      </c>
      <c r="P729" t="s">
        <v>60</v>
      </c>
    </row>
    <row r="730" spans="1:16" x14ac:dyDescent="0.35">
      <c r="A730" t="s">
        <v>1822</v>
      </c>
      <c r="B730" t="s">
        <v>1061</v>
      </c>
      <c r="C730" t="str">
        <f>TEXT(Table1[[#This Row],[Order_Date]],"mmm")</f>
        <v>Aug</v>
      </c>
      <c r="D730">
        <f>YEAR(Table1[[#This Row],[Order_Date]])</f>
        <v>2025</v>
      </c>
      <c r="E730" t="s">
        <v>63</v>
      </c>
      <c r="F730" t="s">
        <v>64</v>
      </c>
      <c r="G730" t="s">
        <v>116</v>
      </c>
      <c r="H730" t="s">
        <v>1823</v>
      </c>
      <c r="I730" t="s">
        <v>67</v>
      </c>
      <c r="J730" t="s">
        <v>51</v>
      </c>
      <c r="K730">
        <v>13</v>
      </c>
      <c r="L730">
        <v>61820</v>
      </c>
      <c r="M730">
        <v>46745</v>
      </c>
      <c r="N730">
        <v>15075</v>
      </c>
      <c r="O730" s="6">
        <f>Table1[[#This Row],[Profit]]/Table1[[#This Row],[Sales_Amount]]</f>
        <v>0.24385312196700096</v>
      </c>
      <c r="P730" t="s">
        <v>121</v>
      </c>
    </row>
    <row r="731" spans="1:16" x14ac:dyDescent="0.35">
      <c r="A731" t="s">
        <v>1824</v>
      </c>
      <c r="B731" t="s">
        <v>1148</v>
      </c>
      <c r="C731" t="str">
        <f>TEXT(Table1[[#This Row],[Order_Date]],"mmm")</f>
        <v>Aug</v>
      </c>
      <c r="D731">
        <f>YEAR(Table1[[#This Row],[Order_Date]])</f>
        <v>2025</v>
      </c>
      <c r="E731" t="s">
        <v>46</v>
      </c>
      <c r="F731" t="s">
        <v>47</v>
      </c>
      <c r="G731" t="s">
        <v>128</v>
      </c>
      <c r="H731" t="s">
        <v>1825</v>
      </c>
      <c r="I731" t="s">
        <v>143</v>
      </c>
      <c r="J731" t="s">
        <v>51</v>
      </c>
      <c r="K731">
        <v>15</v>
      </c>
      <c r="L731">
        <v>29711</v>
      </c>
      <c r="M731">
        <v>16234</v>
      </c>
      <c r="N731">
        <v>13477</v>
      </c>
      <c r="O731" s="6">
        <f>Table1[[#This Row],[Profit]]/Table1[[#This Row],[Sales_Amount]]</f>
        <v>0.45360304264413853</v>
      </c>
      <c r="P731" t="s">
        <v>52</v>
      </c>
    </row>
    <row r="732" spans="1:16" x14ac:dyDescent="0.35">
      <c r="A732" t="s">
        <v>1826</v>
      </c>
      <c r="B732" t="s">
        <v>1645</v>
      </c>
      <c r="C732" t="str">
        <f>TEXT(Table1[[#This Row],[Order_Date]],"mmm")</f>
        <v>Apr</v>
      </c>
      <c r="D732">
        <f>YEAR(Table1[[#This Row],[Order_Date]])</f>
        <v>2025</v>
      </c>
      <c r="E732" t="s">
        <v>55</v>
      </c>
      <c r="F732" t="s">
        <v>188</v>
      </c>
      <c r="G732" t="s">
        <v>128</v>
      </c>
      <c r="H732" t="s">
        <v>1827</v>
      </c>
      <c r="I732" t="s">
        <v>59</v>
      </c>
      <c r="J732" t="s">
        <v>51</v>
      </c>
      <c r="K732">
        <v>11</v>
      </c>
      <c r="L732">
        <v>106782</v>
      </c>
      <c r="M732">
        <v>87508</v>
      </c>
      <c r="N732">
        <v>19274</v>
      </c>
      <c r="O732" s="6">
        <f>Table1[[#This Row],[Profit]]/Table1[[#This Row],[Sales_Amount]]</f>
        <v>0.18049858590399132</v>
      </c>
      <c r="P732" t="s">
        <v>121</v>
      </c>
    </row>
    <row r="733" spans="1:16" x14ac:dyDescent="0.35">
      <c r="A733" t="s">
        <v>1828</v>
      </c>
      <c r="B733" t="s">
        <v>1829</v>
      </c>
      <c r="C733" t="str">
        <f>TEXT(Table1[[#This Row],[Order_Date]],"mmm")</f>
        <v>Mar</v>
      </c>
      <c r="D733">
        <f>YEAR(Table1[[#This Row],[Order_Date]])</f>
        <v>2025</v>
      </c>
      <c r="E733" t="s">
        <v>46</v>
      </c>
      <c r="F733" t="s">
        <v>47</v>
      </c>
      <c r="G733" t="s">
        <v>65</v>
      </c>
      <c r="H733" t="s">
        <v>1830</v>
      </c>
      <c r="I733" t="s">
        <v>76</v>
      </c>
      <c r="J733" t="s">
        <v>77</v>
      </c>
      <c r="K733">
        <v>24</v>
      </c>
      <c r="L733">
        <v>93141</v>
      </c>
      <c r="M733">
        <v>58900</v>
      </c>
      <c r="N733">
        <v>34241</v>
      </c>
      <c r="O733" s="6">
        <f>Table1[[#This Row],[Profit]]/Table1[[#This Row],[Sales_Amount]]</f>
        <v>0.36762542811436422</v>
      </c>
      <c r="P733" t="s">
        <v>121</v>
      </c>
    </row>
    <row r="734" spans="1:16" x14ac:dyDescent="0.35">
      <c r="A734" t="s">
        <v>1831</v>
      </c>
      <c r="B734" t="s">
        <v>1832</v>
      </c>
      <c r="C734" t="str">
        <f>TEXT(Table1[[#This Row],[Order_Date]],"mmm")</f>
        <v>Jun</v>
      </c>
      <c r="D734">
        <f>YEAR(Table1[[#This Row],[Order_Date]])</f>
        <v>2025</v>
      </c>
      <c r="E734" t="s">
        <v>55</v>
      </c>
      <c r="F734" t="s">
        <v>188</v>
      </c>
      <c r="G734" t="s">
        <v>116</v>
      </c>
      <c r="H734" t="s">
        <v>1833</v>
      </c>
      <c r="I734" t="s">
        <v>50</v>
      </c>
      <c r="J734" t="s">
        <v>51</v>
      </c>
      <c r="K734">
        <v>23</v>
      </c>
      <c r="L734">
        <v>45459</v>
      </c>
      <c r="M734">
        <v>35079</v>
      </c>
      <c r="N734">
        <v>10380</v>
      </c>
      <c r="O734" s="6">
        <f>Table1[[#This Row],[Profit]]/Table1[[#This Row],[Sales_Amount]]</f>
        <v>0.22833762291295454</v>
      </c>
      <c r="P734" t="s">
        <v>98</v>
      </c>
    </row>
    <row r="735" spans="1:16" x14ac:dyDescent="0.35">
      <c r="A735" t="s">
        <v>1834</v>
      </c>
      <c r="B735" t="s">
        <v>241</v>
      </c>
      <c r="C735" t="str">
        <f>TEXT(Table1[[#This Row],[Order_Date]],"mmm")</f>
        <v>May</v>
      </c>
      <c r="D735">
        <f>YEAR(Table1[[#This Row],[Order_Date]])</f>
        <v>2025</v>
      </c>
      <c r="E735" t="s">
        <v>63</v>
      </c>
      <c r="F735" t="s">
        <v>64</v>
      </c>
      <c r="G735" t="s">
        <v>138</v>
      </c>
      <c r="H735" t="s">
        <v>1835</v>
      </c>
      <c r="I735" t="s">
        <v>125</v>
      </c>
      <c r="J735" t="s">
        <v>83</v>
      </c>
      <c r="K735">
        <v>21</v>
      </c>
      <c r="L735">
        <v>28475</v>
      </c>
      <c r="M735">
        <v>16009</v>
      </c>
      <c r="N735">
        <v>12466</v>
      </c>
      <c r="O735" s="6">
        <f>Table1[[#This Row],[Profit]]/Table1[[#This Row],[Sales_Amount]]</f>
        <v>0.43778753292361722</v>
      </c>
      <c r="P735" t="s">
        <v>98</v>
      </c>
    </row>
    <row r="736" spans="1:16" x14ac:dyDescent="0.35">
      <c r="A736" t="s">
        <v>1836</v>
      </c>
      <c r="B736" t="s">
        <v>1837</v>
      </c>
      <c r="C736" t="str">
        <f>TEXT(Table1[[#This Row],[Order_Date]],"mmm")</f>
        <v>Mar</v>
      </c>
      <c r="D736">
        <f>YEAR(Table1[[#This Row],[Order_Date]])</f>
        <v>2025</v>
      </c>
      <c r="E736" t="s">
        <v>111</v>
      </c>
      <c r="F736" t="s">
        <v>169</v>
      </c>
      <c r="G736" t="s">
        <v>116</v>
      </c>
      <c r="H736" t="s">
        <v>1838</v>
      </c>
      <c r="I736" t="s">
        <v>82</v>
      </c>
      <c r="J736" t="s">
        <v>83</v>
      </c>
      <c r="K736">
        <v>21</v>
      </c>
      <c r="L736">
        <v>84661</v>
      </c>
      <c r="M736">
        <v>52809</v>
      </c>
      <c r="N736">
        <v>31852</v>
      </c>
      <c r="O736" s="6">
        <f>Table1[[#This Row],[Profit]]/Table1[[#This Row],[Sales_Amount]]</f>
        <v>0.37622990515113214</v>
      </c>
      <c r="P736" t="s">
        <v>98</v>
      </c>
    </row>
    <row r="737" spans="1:16" x14ac:dyDescent="0.35">
      <c r="A737" t="s">
        <v>1839</v>
      </c>
      <c r="B737" t="s">
        <v>1274</v>
      </c>
      <c r="C737" t="str">
        <f>TEXT(Table1[[#This Row],[Order_Date]],"mmm")</f>
        <v>Oct</v>
      </c>
      <c r="D737">
        <f>YEAR(Table1[[#This Row],[Order_Date]])</f>
        <v>2025</v>
      </c>
      <c r="E737" t="s">
        <v>46</v>
      </c>
      <c r="F737" t="s">
        <v>47</v>
      </c>
      <c r="G737" t="s">
        <v>57</v>
      </c>
      <c r="H737" t="s">
        <v>354</v>
      </c>
      <c r="I737" t="s">
        <v>50</v>
      </c>
      <c r="J737" t="s">
        <v>51</v>
      </c>
      <c r="K737">
        <v>1</v>
      </c>
      <c r="L737">
        <v>3324</v>
      </c>
      <c r="M737">
        <v>1989</v>
      </c>
      <c r="N737">
        <v>1335</v>
      </c>
      <c r="O737" s="6">
        <f>Table1[[#This Row],[Profit]]/Table1[[#This Row],[Sales_Amount]]</f>
        <v>0.40162454873646208</v>
      </c>
      <c r="P737" t="s">
        <v>121</v>
      </c>
    </row>
    <row r="738" spans="1:16" x14ac:dyDescent="0.35">
      <c r="A738" t="s">
        <v>1840</v>
      </c>
      <c r="B738" t="s">
        <v>1178</v>
      </c>
      <c r="C738" t="str">
        <f>TEXT(Table1[[#This Row],[Order_Date]],"mmm")</f>
        <v>Dec</v>
      </c>
      <c r="D738">
        <f>YEAR(Table1[[#This Row],[Order_Date]])</f>
        <v>2025</v>
      </c>
      <c r="E738" t="s">
        <v>63</v>
      </c>
      <c r="F738" t="s">
        <v>104</v>
      </c>
      <c r="G738" t="s">
        <v>128</v>
      </c>
      <c r="H738" t="s">
        <v>1841</v>
      </c>
      <c r="I738" t="s">
        <v>67</v>
      </c>
      <c r="J738" t="s">
        <v>51</v>
      </c>
      <c r="K738">
        <v>19</v>
      </c>
      <c r="L738">
        <v>30542</v>
      </c>
      <c r="M738">
        <v>19098</v>
      </c>
      <c r="N738">
        <v>11444</v>
      </c>
      <c r="O738" s="6">
        <f>Table1[[#This Row],[Profit]]/Table1[[#This Row],[Sales_Amount]]</f>
        <v>0.3746971383668391</v>
      </c>
      <c r="P738" t="s">
        <v>98</v>
      </c>
    </row>
    <row r="739" spans="1:16" x14ac:dyDescent="0.35">
      <c r="A739" t="s">
        <v>1842</v>
      </c>
      <c r="B739" t="s">
        <v>537</v>
      </c>
      <c r="C739" t="str">
        <f>TEXT(Table1[[#This Row],[Order_Date]],"mmm")</f>
        <v>Oct</v>
      </c>
      <c r="D739">
        <f>YEAR(Table1[[#This Row],[Order_Date]])</f>
        <v>2025</v>
      </c>
      <c r="E739" t="s">
        <v>46</v>
      </c>
      <c r="F739" t="s">
        <v>47</v>
      </c>
      <c r="G739" t="s">
        <v>70</v>
      </c>
      <c r="H739" t="s">
        <v>1843</v>
      </c>
      <c r="I739" t="s">
        <v>59</v>
      </c>
      <c r="J739" t="s">
        <v>51</v>
      </c>
      <c r="K739">
        <v>24</v>
      </c>
      <c r="L739">
        <v>108417</v>
      </c>
      <c r="M739">
        <v>85145</v>
      </c>
      <c r="N739">
        <v>23272</v>
      </c>
      <c r="O739" s="6">
        <f>Table1[[#This Row],[Profit]]/Table1[[#This Row],[Sales_Amount]]</f>
        <v>0.21465268361972753</v>
      </c>
      <c r="P739" t="s">
        <v>121</v>
      </c>
    </row>
    <row r="740" spans="1:16" x14ac:dyDescent="0.35">
      <c r="A740" t="s">
        <v>1844</v>
      </c>
      <c r="B740" t="s">
        <v>1767</v>
      </c>
      <c r="C740" t="str">
        <f>TEXT(Table1[[#This Row],[Order_Date]],"mmm")</f>
        <v>Feb</v>
      </c>
      <c r="D740">
        <f>YEAR(Table1[[#This Row],[Order_Date]])</f>
        <v>2025</v>
      </c>
      <c r="E740" t="s">
        <v>111</v>
      </c>
      <c r="F740" t="s">
        <v>112</v>
      </c>
      <c r="G740" t="s">
        <v>48</v>
      </c>
      <c r="H740" t="s">
        <v>1845</v>
      </c>
      <c r="I740" t="s">
        <v>59</v>
      </c>
      <c r="J740" t="s">
        <v>51</v>
      </c>
      <c r="K740">
        <v>16</v>
      </c>
      <c r="L740">
        <v>72082</v>
      </c>
      <c r="M740">
        <v>49522</v>
      </c>
      <c r="N740">
        <v>22560</v>
      </c>
      <c r="O740" s="6">
        <f>Table1[[#This Row],[Profit]]/Table1[[#This Row],[Sales_Amount]]</f>
        <v>0.31297688743375601</v>
      </c>
      <c r="P740" t="s">
        <v>121</v>
      </c>
    </row>
    <row r="741" spans="1:16" x14ac:dyDescent="0.35">
      <c r="A741" t="s">
        <v>1846</v>
      </c>
      <c r="B741" t="s">
        <v>316</v>
      </c>
      <c r="C741" t="str">
        <f>TEXT(Table1[[#This Row],[Order_Date]],"mmm")</f>
        <v>Mar</v>
      </c>
      <c r="D741">
        <f>YEAR(Table1[[#This Row],[Order_Date]])</f>
        <v>2025</v>
      </c>
      <c r="E741" t="s">
        <v>111</v>
      </c>
      <c r="F741" t="s">
        <v>112</v>
      </c>
      <c r="G741" t="s">
        <v>48</v>
      </c>
      <c r="H741" t="s">
        <v>1847</v>
      </c>
      <c r="I741" t="s">
        <v>59</v>
      </c>
      <c r="J741" t="s">
        <v>51</v>
      </c>
      <c r="K741">
        <v>24</v>
      </c>
      <c r="L741">
        <v>112416</v>
      </c>
      <c r="M741">
        <v>91678</v>
      </c>
      <c r="N741">
        <v>20738</v>
      </c>
      <c r="O741" s="6">
        <f>Table1[[#This Row],[Profit]]/Table1[[#This Row],[Sales_Amount]]</f>
        <v>0.1844755194990037</v>
      </c>
      <c r="P741" t="s">
        <v>121</v>
      </c>
    </row>
    <row r="742" spans="1:16" x14ac:dyDescent="0.35">
      <c r="A742" t="s">
        <v>1848</v>
      </c>
      <c r="B742" t="s">
        <v>1849</v>
      </c>
      <c r="C742" t="str">
        <f>TEXT(Table1[[#This Row],[Order_Date]],"mmm")</f>
        <v>Feb</v>
      </c>
      <c r="D742">
        <f>YEAR(Table1[[#This Row],[Order_Date]])</f>
        <v>2025</v>
      </c>
      <c r="E742" t="s">
        <v>111</v>
      </c>
      <c r="F742" t="s">
        <v>112</v>
      </c>
      <c r="G742" t="s">
        <v>116</v>
      </c>
      <c r="H742" t="s">
        <v>1850</v>
      </c>
      <c r="I742" t="s">
        <v>87</v>
      </c>
      <c r="J742" t="s">
        <v>88</v>
      </c>
      <c r="K742">
        <v>9</v>
      </c>
      <c r="L742">
        <v>108893</v>
      </c>
      <c r="M742">
        <v>89200</v>
      </c>
      <c r="N742">
        <v>19693</v>
      </c>
      <c r="O742" s="6">
        <f>Table1[[#This Row],[Profit]]/Table1[[#This Row],[Sales_Amount]]</f>
        <v>0.18084725372613483</v>
      </c>
      <c r="P742" t="s">
        <v>52</v>
      </c>
    </row>
    <row r="743" spans="1:16" x14ac:dyDescent="0.35">
      <c r="A743" t="s">
        <v>1851</v>
      </c>
      <c r="B743" t="s">
        <v>1460</v>
      </c>
      <c r="C743" t="str">
        <f>TEXT(Table1[[#This Row],[Order_Date]],"mmm")</f>
        <v>May</v>
      </c>
      <c r="D743">
        <f>YEAR(Table1[[#This Row],[Order_Date]])</f>
        <v>2025</v>
      </c>
      <c r="E743" t="s">
        <v>111</v>
      </c>
      <c r="F743" t="s">
        <v>112</v>
      </c>
      <c r="G743" t="s">
        <v>116</v>
      </c>
      <c r="H743" t="s">
        <v>1852</v>
      </c>
      <c r="I743" t="s">
        <v>143</v>
      </c>
      <c r="J743" t="s">
        <v>51</v>
      </c>
      <c r="K743">
        <v>11</v>
      </c>
      <c r="L743">
        <v>71887</v>
      </c>
      <c r="M743">
        <v>44753</v>
      </c>
      <c r="N743">
        <v>27134</v>
      </c>
      <c r="O743" s="6">
        <f>Table1[[#This Row],[Profit]]/Table1[[#This Row],[Sales_Amount]]</f>
        <v>0.37745350341508199</v>
      </c>
      <c r="P743" t="s">
        <v>121</v>
      </c>
    </row>
    <row r="744" spans="1:16" x14ac:dyDescent="0.35">
      <c r="A744" t="s">
        <v>1853</v>
      </c>
      <c r="B744" t="s">
        <v>1293</v>
      </c>
      <c r="C744" t="str">
        <f>TEXT(Table1[[#This Row],[Order_Date]],"mmm")</f>
        <v>Mar</v>
      </c>
      <c r="D744">
        <f>YEAR(Table1[[#This Row],[Order_Date]])</f>
        <v>2025</v>
      </c>
      <c r="E744" t="s">
        <v>111</v>
      </c>
      <c r="F744" t="s">
        <v>112</v>
      </c>
      <c r="G744" t="s">
        <v>128</v>
      </c>
      <c r="H744" t="s">
        <v>1854</v>
      </c>
      <c r="I744" t="s">
        <v>156</v>
      </c>
      <c r="J744" t="s">
        <v>157</v>
      </c>
      <c r="K744">
        <v>7</v>
      </c>
      <c r="L744">
        <v>107551</v>
      </c>
      <c r="M744">
        <v>87823</v>
      </c>
      <c r="N744">
        <v>19728</v>
      </c>
      <c r="O744" s="6">
        <f>Table1[[#This Row],[Profit]]/Table1[[#This Row],[Sales_Amount]]</f>
        <v>0.18342925681769578</v>
      </c>
      <c r="P744" t="s">
        <v>121</v>
      </c>
    </row>
    <row r="745" spans="1:16" x14ac:dyDescent="0.35">
      <c r="A745" t="s">
        <v>1855</v>
      </c>
      <c r="B745" t="s">
        <v>769</v>
      </c>
      <c r="C745" t="str">
        <f>TEXT(Table1[[#This Row],[Order_Date]],"mmm")</f>
        <v>Feb</v>
      </c>
      <c r="D745">
        <f>YEAR(Table1[[#This Row],[Order_Date]])</f>
        <v>2025</v>
      </c>
      <c r="E745" t="s">
        <v>46</v>
      </c>
      <c r="F745" t="s">
        <v>74</v>
      </c>
      <c r="G745" t="s">
        <v>70</v>
      </c>
      <c r="H745" t="s">
        <v>1856</v>
      </c>
      <c r="I745" t="s">
        <v>76</v>
      </c>
      <c r="J745" t="s">
        <v>77</v>
      </c>
      <c r="K745">
        <v>16</v>
      </c>
      <c r="L745">
        <v>114800</v>
      </c>
      <c r="M745">
        <v>65949</v>
      </c>
      <c r="N745">
        <v>48851</v>
      </c>
      <c r="O745" s="6">
        <f>Table1[[#This Row],[Profit]]/Table1[[#This Row],[Sales_Amount]]</f>
        <v>0.42553135888501742</v>
      </c>
      <c r="P745" t="s">
        <v>60</v>
      </c>
    </row>
    <row r="746" spans="1:16" x14ac:dyDescent="0.35">
      <c r="A746" t="s">
        <v>1857</v>
      </c>
      <c r="B746" t="s">
        <v>657</v>
      </c>
      <c r="C746" t="str">
        <f>TEXT(Table1[[#This Row],[Order_Date]],"mmm")</f>
        <v>Jul</v>
      </c>
      <c r="D746">
        <f>YEAR(Table1[[#This Row],[Order_Date]])</f>
        <v>2025</v>
      </c>
      <c r="E746" t="s">
        <v>111</v>
      </c>
      <c r="F746" t="s">
        <v>112</v>
      </c>
      <c r="G746" t="s">
        <v>80</v>
      </c>
      <c r="H746" t="s">
        <v>1858</v>
      </c>
      <c r="I746" t="s">
        <v>143</v>
      </c>
      <c r="J746" t="s">
        <v>51</v>
      </c>
      <c r="K746">
        <v>23</v>
      </c>
      <c r="L746">
        <v>61708</v>
      </c>
      <c r="M746">
        <v>52255</v>
      </c>
      <c r="N746">
        <v>9453</v>
      </c>
      <c r="O746" s="6">
        <f>Table1[[#This Row],[Profit]]/Table1[[#This Row],[Sales_Amount]]</f>
        <v>0.15318921371621183</v>
      </c>
      <c r="P746" t="s">
        <v>98</v>
      </c>
    </row>
    <row r="747" spans="1:16" x14ac:dyDescent="0.35">
      <c r="A747" t="s">
        <v>1859</v>
      </c>
      <c r="B747" t="s">
        <v>915</v>
      </c>
      <c r="C747" t="str">
        <f>TEXT(Table1[[#This Row],[Order_Date]],"mmm")</f>
        <v>Sep</v>
      </c>
      <c r="D747">
        <f>YEAR(Table1[[#This Row],[Order_Date]])</f>
        <v>2025</v>
      </c>
      <c r="E747" t="s">
        <v>63</v>
      </c>
      <c r="F747" t="s">
        <v>64</v>
      </c>
      <c r="G747" t="s">
        <v>116</v>
      </c>
      <c r="H747" t="s">
        <v>1860</v>
      </c>
      <c r="I747" t="s">
        <v>156</v>
      </c>
      <c r="J747" t="s">
        <v>157</v>
      </c>
      <c r="K747">
        <v>8</v>
      </c>
      <c r="L747">
        <v>61193</v>
      </c>
      <c r="M747">
        <v>35438</v>
      </c>
      <c r="N747">
        <v>25755</v>
      </c>
      <c r="O747" s="6">
        <f>Table1[[#This Row],[Profit]]/Table1[[#This Row],[Sales_Amount]]</f>
        <v>0.42088147337113724</v>
      </c>
      <c r="P747" t="s">
        <v>52</v>
      </c>
    </row>
    <row r="748" spans="1:16" x14ac:dyDescent="0.35">
      <c r="A748" t="s">
        <v>1861</v>
      </c>
      <c r="B748" t="s">
        <v>1862</v>
      </c>
      <c r="C748" t="str">
        <f>TEXT(Table1[[#This Row],[Order_Date]],"mmm")</f>
        <v>Oct</v>
      </c>
      <c r="D748">
        <f>YEAR(Table1[[#This Row],[Order_Date]])</f>
        <v>2025</v>
      </c>
      <c r="E748" t="s">
        <v>55</v>
      </c>
      <c r="F748" t="s">
        <v>56</v>
      </c>
      <c r="G748" t="s">
        <v>57</v>
      </c>
      <c r="H748" t="s">
        <v>1863</v>
      </c>
      <c r="I748" t="s">
        <v>67</v>
      </c>
      <c r="J748" t="s">
        <v>51</v>
      </c>
      <c r="K748">
        <v>10</v>
      </c>
      <c r="L748">
        <v>39917</v>
      </c>
      <c r="M748">
        <v>20164</v>
      </c>
      <c r="N748">
        <v>19753</v>
      </c>
      <c r="O748" s="6">
        <f>Table1[[#This Row],[Profit]]/Table1[[#This Row],[Sales_Amount]]</f>
        <v>0.49485181752135682</v>
      </c>
      <c r="P748" t="s">
        <v>98</v>
      </c>
    </row>
    <row r="749" spans="1:16" x14ac:dyDescent="0.35">
      <c r="A749" t="s">
        <v>1864</v>
      </c>
      <c r="B749" t="s">
        <v>1133</v>
      </c>
      <c r="C749" t="str">
        <f>TEXT(Table1[[#This Row],[Order_Date]],"mmm")</f>
        <v>Jan</v>
      </c>
      <c r="D749">
        <f>YEAR(Table1[[#This Row],[Order_Date]])</f>
        <v>2025</v>
      </c>
      <c r="E749" t="s">
        <v>63</v>
      </c>
      <c r="F749" t="s">
        <v>104</v>
      </c>
      <c r="G749" t="s">
        <v>80</v>
      </c>
      <c r="H749" t="s">
        <v>1637</v>
      </c>
      <c r="I749" t="s">
        <v>50</v>
      </c>
      <c r="J749" t="s">
        <v>51</v>
      </c>
      <c r="K749">
        <v>24</v>
      </c>
      <c r="L749">
        <v>34373</v>
      </c>
      <c r="M749">
        <v>21253</v>
      </c>
      <c r="N749">
        <v>13120</v>
      </c>
      <c r="O749" s="6">
        <f>Table1[[#This Row],[Profit]]/Table1[[#This Row],[Sales_Amount]]</f>
        <v>0.38169493497803508</v>
      </c>
      <c r="P749" t="s">
        <v>121</v>
      </c>
    </row>
    <row r="750" spans="1:16" x14ac:dyDescent="0.35">
      <c r="A750" t="s">
        <v>1865</v>
      </c>
      <c r="B750" t="s">
        <v>875</v>
      </c>
      <c r="C750" t="str">
        <f>TEXT(Table1[[#This Row],[Order_Date]],"mmm")</f>
        <v>Sep</v>
      </c>
      <c r="D750">
        <f>YEAR(Table1[[#This Row],[Order_Date]])</f>
        <v>2025</v>
      </c>
      <c r="E750" t="s">
        <v>111</v>
      </c>
      <c r="F750" t="s">
        <v>112</v>
      </c>
      <c r="G750" t="s">
        <v>116</v>
      </c>
      <c r="H750" t="s">
        <v>1866</v>
      </c>
      <c r="I750" t="s">
        <v>76</v>
      </c>
      <c r="J750" t="s">
        <v>77</v>
      </c>
      <c r="K750">
        <v>20</v>
      </c>
      <c r="L750">
        <v>4260</v>
      </c>
      <c r="M750">
        <v>3433</v>
      </c>
      <c r="N750">
        <v>827</v>
      </c>
      <c r="O750" s="6">
        <f>Table1[[#This Row],[Profit]]/Table1[[#This Row],[Sales_Amount]]</f>
        <v>0.19413145539906104</v>
      </c>
      <c r="P750" t="s">
        <v>60</v>
      </c>
    </row>
    <row r="751" spans="1:16" x14ac:dyDescent="0.35">
      <c r="A751" t="s">
        <v>1867</v>
      </c>
      <c r="B751" t="s">
        <v>1868</v>
      </c>
      <c r="C751" t="str">
        <f>TEXT(Table1[[#This Row],[Order_Date]],"mmm")</f>
        <v>Jun</v>
      </c>
      <c r="D751">
        <f>YEAR(Table1[[#This Row],[Order_Date]])</f>
        <v>2025</v>
      </c>
      <c r="E751" t="s">
        <v>55</v>
      </c>
      <c r="F751" t="s">
        <v>188</v>
      </c>
      <c r="G751" t="s">
        <v>57</v>
      </c>
      <c r="H751" t="s">
        <v>894</v>
      </c>
      <c r="I751" t="s">
        <v>87</v>
      </c>
      <c r="J751" t="s">
        <v>88</v>
      </c>
      <c r="K751">
        <v>25</v>
      </c>
      <c r="L751">
        <v>93691</v>
      </c>
      <c r="M751">
        <v>76780</v>
      </c>
      <c r="N751">
        <v>16911</v>
      </c>
      <c r="O751" s="6">
        <f>Table1[[#This Row],[Profit]]/Table1[[#This Row],[Sales_Amount]]</f>
        <v>0.18049759315195696</v>
      </c>
      <c r="P751" t="s">
        <v>98</v>
      </c>
    </row>
    <row r="752" spans="1:16" x14ac:dyDescent="0.35">
      <c r="A752" t="s">
        <v>1869</v>
      </c>
      <c r="B752" t="s">
        <v>141</v>
      </c>
      <c r="C752" t="str">
        <f>TEXT(Table1[[#This Row],[Order_Date]],"mmm")</f>
        <v>Sep</v>
      </c>
      <c r="D752">
        <f>YEAR(Table1[[#This Row],[Order_Date]])</f>
        <v>2025</v>
      </c>
      <c r="E752" t="s">
        <v>111</v>
      </c>
      <c r="F752" t="s">
        <v>169</v>
      </c>
      <c r="G752" t="s">
        <v>116</v>
      </c>
      <c r="H752" t="s">
        <v>1870</v>
      </c>
      <c r="I752" t="s">
        <v>59</v>
      </c>
      <c r="J752" t="s">
        <v>51</v>
      </c>
      <c r="K752">
        <v>21</v>
      </c>
      <c r="L752">
        <v>79237</v>
      </c>
      <c r="M752">
        <v>49533</v>
      </c>
      <c r="N752">
        <v>29704</v>
      </c>
      <c r="O752" s="6">
        <f>Table1[[#This Row],[Profit]]/Table1[[#This Row],[Sales_Amount]]</f>
        <v>0.37487537387836489</v>
      </c>
      <c r="P752" t="s">
        <v>60</v>
      </c>
    </row>
    <row r="753" spans="1:16" x14ac:dyDescent="0.35">
      <c r="A753" t="s">
        <v>1871</v>
      </c>
      <c r="B753" t="s">
        <v>1307</v>
      </c>
      <c r="C753" t="str">
        <f>TEXT(Table1[[#This Row],[Order_Date]],"mmm")</f>
        <v>Sep</v>
      </c>
      <c r="D753">
        <f>YEAR(Table1[[#This Row],[Order_Date]])</f>
        <v>2025</v>
      </c>
      <c r="E753" t="s">
        <v>63</v>
      </c>
      <c r="F753" t="s">
        <v>104</v>
      </c>
      <c r="G753" t="s">
        <v>138</v>
      </c>
      <c r="H753" t="s">
        <v>1872</v>
      </c>
      <c r="I753" t="s">
        <v>76</v>
      </c>
      <c r="J753" t="s">
        <v>77</v>
      </c>
      <c r="K753">
        <v>16</v>
      </c>
      <c r="L753">
        <v>106254</v>
      </c>
      <c r="M753">
        <v>52771</v>
      </c>
      <c r="N753">
        <v>53483</v>
      </c>
      <c r="O753" s="6">
        <f>Table1[[#This Row],[Profit]]/Table1[[#This Row],[Sales_Amount]]</f>
        <v>0.50335046210025036</v>
      </c>
      <c r="P753" t="s">
        <v>121</v>
      </c>
    </row>
    <row r="754" spans="1:16" x14ac:dyDescent="0.35">
      <c r="A754" t="s">
        <v>1873</v>
      </c>
      <c r="B754" t="s">
        <v>856</v>
      </c>
      <c r="C754" t="str">
        <f>TEXT(Table1[[#This Row],[Order_Date]],"mmm")</f>
        <v>Oct</v>
      </c>
      <c r="D754">
        <f>YEAR(Table1[[#This Row],[Order_Date]])</f>
        <v>2025</v>
      </c>
      <c r="E754" t="s">
        <v>46</v>
      </c>
      <c r="F754" t="s">
        <v>74</v>
      </c>
      <c r="G754" t="s">
        <v>57</v>
      </c>
      <c r="H754" t="s">
        <v>1874</v>
      </c>
      <c r="I754" t="s">
        <v>67</v>
      </c>
      <c r="J754" t="s">
        <v>51</v>
      </c>
      <c r="K754">
        <v>24</v>
      </c>
      <c r="L754">
        <v>42428</v>
      </c>
      <c r="M754">
        <v>27938</v>
      </c>
      <c r="N754">
        <v>14490</v>
      </c>
      <c r="O754" s="6">
        <f>Table1[[#This Row],[Profit]]/Table1[[#This Row],[Sales_Amount]]</f>
        <v>0.34151975110775901</v>
      </c>
      <c r="P754" t="s">
        <v>60</v>
      </c>
    </row>
    <row r="755" spans="1:16" x14ac:dyDescent="0.35">
      <c r="A755" t="s">
        <v>1875</v>
      </c>
      <c r="B755" t="s">
        <v>1876</v>
      </c>
      <c r="C755" t="str">
        <f>TEXT(Table1[[#This Row],[Order_Date]],"mmm")</f>
        <v>Sep</v>
      </c>
      <c r="D755">
        <f>YEAR(Table1[[#This Row],[Order_Date]])</f>
        <v>2025</v>
      </c>
      <c r="E755" t="s">
        <v>63</v>
      </c>
      <c r="F755" t="s">
        <v>64</v>
      </c>
      <c r="G755" t="s">
        <v>57</v>
      </c>
      <c r="H755" t="s">
        <v>1877</v>
      </c>
      <c r="I755" t="s">
        <v>156</v>
      </c>
      <c r="J755" t="s">
        <v>157</v>
      </c>
      <c r="K755">
        <v>20</v>
      </c>
      <c r="L755">
        <v>53101</v>
      </c>
      <c r="M755">
        <v>35397</v>
      </c>
      <c r="N755">
        <v>17704</v>
      </c>
      <c r="O755" s="6">
        <f>Table1[[#This Row],[Profit]]/Table1[[#This Row],[Sales_Amount]]</f>
        <v>0.33340238413589196</v>
      </c>
      <c r="P755" t="s">
        <v>52</v>
      </c>
    </row>
    <row r="756" spans="1:16" x14ac:dyDescent="0.35">
      <c r="A756" t="s">
        <v>1878</v>
      </c>
      <c r="B756" t="s">
        <v>249</v>
      </c>
      <c r="C756" t="str">
        <f>TEXT(Table1[[#This Row],[Order_Date]],"mmm")</f>
        <v>Apr</v>
      </c>
      <c r="D756">
        <f>YEAR(Table1[[#This Row],[Order_Date]])</f>
        <v>2025</v>
      </c>
      <c r="E756" t="s">
        <v>111</v>
      </c>
      <c r="F756" t="s">
        <v>112</v>
      </c>
      <c r="G756" t="s">
        <v>138</v>
      </c>
      <c r="H756" t="s">
        <v>1879</v>
      </c>
      <c r="I756" t="s">
        <v>156</v>
      </c>
      <c r="J756" t="s">
        <v>157</v>
      </c>
      <c r="K756">
        <v>13</v>
      </c>
      <c r="L756">
        <v>104160</v>
      </c>
      <c r="M756">
        <v>78353</v>
      </c>
      <c r="N756">
        <v>25807</v>
      </c>
      <c r="O756" s="6">
        <f>Table1[[#This Row],[Profit]]/Table1[[#This Row],[Sales_Amount]]</f>
        <v>0.24776305683563749</v>
      </c>
      <c r="P756" t="s">
        <v>121</v>
      </c>
    </row>
    <row r="757" spans="1:16" x14ac:dyDescent="0.35">
      <c r="A757" t="s">
        <v>1880</v>
      </c>
      <c r="B757" t="s">
        <v>1664</v>
      </c>
      <c r="C757" t="str">
        <f>TEXT(Table1[[#This Row],[Order_Date]],"mmm")</f>
        <v>Aug</v>
      </c>
      <c r="D757">
        <f>YEAR(Table1[[#This Row],[Order_Date]])</f>
        <v>2025</v>
      </c>
      <c r="E757" t="s">
        <v>63</v>
      </c>
      <c r="F757" t="s">
        <v>104</v>
      </c>
      <c r="G757" t="s">
        <v>65</v>
      </c>
      <c r="H757" t="s">
        <v>1881</v>
      </c>
      <c r="I757" t="s">
        <v>125</v>
      </c>
      <c r="J757" t="s">
        <v>83</v>
      </c>
      <c r="K757">
        <v>22</v>
      </c>
      <c r="L757">
        <v>98443</v>
      </c>
      <c r="M757">
        <v>75341</v>
      </c>
      <c r="N757">
        <v>23102</v>
      </c>
      <c r="O757" s="6">
        <f>Table1[[#This Row],[Profit]]/Table1[[#This Row],[Sales_Amount]]</f>
        <v>0.23467387218999827</v>
      </c>
      <c r="P757" t="s">
        <v>121</v>
      </c>
    </row>
    <row r="758" spans="1:16" x14ac:dyDescent="0.35">
      <c r="A758" t="s">
        <v>1882</v>
      </c>
      <c r="B758" t="s">
        <v>843</v>
      </c>
      <c r="C758" t="str">
        <f>TEXT(Table1[[#This Row],[Order_Date]],"mmm")</f>
        <v>Mar</v>
      </c>
      <c r="D758">
        <f>YEAR(Table1[[#This Row],[Order_Date]])</f>
        <v>2025</v>
      </c>
      <c r="E758" t="s">
        <v>46</v>
      </c>
      <c r="F758" t="s">
        <v>47</v>
      </c>
      <c r="G758" t="s">
        <v>116</v>
      </c>
      <c r="H758" t="s">
        <v>1883</v>
      </c>
      <c r="I758" t="s">
        <v>67</v>
      </c>
      <c r="J758" t="s">
        <v>51</v>
      </c>
      <c r="K758">
        <v>13</v>
      </c>
      <c r="L758">
        <v>32862</v>
      </c>
      <c r="M758">
        <v>23696</v>
      </c>
      <c r="N758">
        <v>9166</v>
      </c>
      <c r="O758" s="6">
        <f>Table1[[#This Row],[Profit]]/Table1[[#This Row],[Sales_Amount]]</f>
        <v>0.27892398515002131</v>
      </c>
      <c r="P758" t="s">
        <v>60</v>
      </c>
    </row>
    <row r="759" spans="1:16" x14ac:dyDescent="0.35">
      <c r="A759" t="s">
        <v>1884</v>
      </c>
      <c r="B759" t="s">
        <v>555</v>
      </c>
      <c r="C759" t="str">
        <f>TEXT(Table1[[#This Row],[Order_Date]],"mmm")</f>
        <v>Sep</v>
      </c>
      <c r="D759">
        <f>YEAR(Table1[[#This Row],[Order_Date]])</f>
        <v>2025</v>
      </c>
      <c r="E759" t="s">
        <v>111</v>
      </c>
      <c r="F759" t="s">
        <v>169</v>
      </c>
      <c r="G759" t="s">
        <v>65</v>
      </c>
      <c r="H759" t="s">
        <v>1885</v>
      </c>
      <c r="I759" t="s">
        <v>125</v>
      </c>
      <c r="J759" t="s">
        <v>83</v>
      </c>
      <c r="K759">
        <v>24</v>
      </c>
      <c r="L759">
        <v>11989</v>
      </c>
      <c r="M759">
        <v>9917</v>
      </c>
      <c r="N759">
        <v>2072</v>
      </c>
      <c r="O759" s="6">
        <f>Table1[[#This Row],[Profit]]/Table1[[#This Row],[Sales_Amount]]</f>
        <v>0.17282508966552673</v>
      </c>
      <c r="P759" t="s">
        <v>98</v>
      </c>
    </row>
    <row r="760" spans="1:16" x14ac:dyDescent="0.35">
      <c r="A760" t="s">
        <v>1886</v>
      </c>
      <c r="B760" t="s">
        <v>1133</v>
      </c>
      <c r="C760" t="str">
        <f>TEXT(Table1[[#This Row],[Order_Date]],"mmm")</f>
        <v>Jan</v>
      </c>
      <c r="D760">
        <f>YEAR(Table1[[#This Row],[Order_Date]])</f>
        <v>2025</v>
      </c>
      <c r="E760" t="s">
        <v>46</v>
      </c>
      <c r="F760" t="s">
        <v>74</v>
      </c>
      <c r="G760" t="s">
        <v>116</v>
      </c>
      <c r="H760" t="s">
        <v>1887</v>
      </c>
      <c r="I760" t="s">
        <v>67</v>
      </c>
      <c r="J760" t="s">
        <v>51</v>
      </c>
      <c r="K760">
        <v>16</v>
      </c>
      <c r="L760">
        <v>20319</v>
      </c>
      <c r="M760">
        <v>15347</v>
      </c>
      <c r="N760">
        <v>4972</v>
      </c>
      <c r="O760" s="6">
        <f>Table1[[#This Row],[Profit]]/Table1[[#This Row],[Sales_Amount]]</f>
        <v>0.24469708154928885</v>
      </c>
      <c r="P760" t="s">
        <v>52</v>
      </c>
    </row>
    <row r="761" spans="1:16" x14ac:dyDescent="0.35">
      <c r="A761" t="s">
        <v>1888</v>
      </c>
      <c r="B761" t="s">
        <v>1293</v>
      </c>
      <c r="C761" t="str">
        <f>TEXT(Table1[[#This Row],[Order_Date]],"mmm")</f>
        <v>Mar</v>
      </c>
      <c r="D761">
        <f>YEAR(Table1[[#This Row],[Order_Date]])</f>
        <v>2025</v>
      </c>
      <c r="E761" t="s">
        <v>111</v>
      </c>
      <c r="F761" t="s">
        <v>112</v>
      </c>
      <c r="G761" t="s">
        <v>116</v>
      </c>
      <c r="H761" t="s">
        <v>1889</v>
      </c>
      <c r="I761" t="s">
        <v>156</v>
      </c>
      <c r="J761" t="s">
        <v>157</v>
      </c>
      <c r="K761">
        <v>21</v>
      </c>
      <c r="L761">
        <v>74028</v>
      </c>
      <c r="M761">
        <v>57743</v>
      </c>
      <c r="N761">
        <v>16285</v>
      </c>
      <c r="O761" s="6">
        <f>Table1[[#This Row],[Profit]]/Table1[[#This Row],[Sales_Amount]]</f>
        <v>0.21998433025341763</v>
      </c>
      <c r="P761" t="s">
        <v>52</v>
      </c>
    </row>
    <row r="762" spans="1:16" x14ac:dyDescent="0.35">
      <c r="A762" t="s">
        <v>1890</v>
      </c>
      <c r="B762" t="s">
        <v>1807</v>
      </c>
      <c r="C762" t="str">
        <f>TEXT(Table1[[#This Row],[Order_Date]],"mmm")</f>
        <v>Aug</v>
      </c>
      <c r="D762">
        <f>YEAR(Table1[[#This Row],[Order_Date]])</f>
        <v>2025</v>
      </c>
      <c r="E762" t="s">
        <v>63</v>
      </c>
      <c r="F762" t="s">
        <v>64</v>
      </c>
      <c r="G762" t="s">
        <v>70</v>
      </c>
      <c r="H762" t="s">
        <v>1891</v>
      </c>
      <c r="I762" t="s">
        <v>59</v>
      </c>
      <c r="J762" t="s">
        <v>51</v>
      </c>
      <c r="K762">
        <v>4</v>
      </c>
      <c r="L762">
        <v>14681</v>
      </c>
      <c r="M762">
        <v>8316</v>
      </c>
      <c r="N762">
        <v>6365</v>
      </c>
      <c r="O762" s="6">
        <f>Table1[[#This Row],[Profit]]/Table1[[#This Row],[Sales_Amount]]</f>
        <v>0.43355357264491517</v>
      </c>
      <c r="P762" t="s">
        <v>52</v>
      </c>
    </row>
    <row r="763" spans="1:16" x14ac:dyDescent="0.35">
      <c r="A763" t="s">
        <v>1892</v>
      </c>
      <c r="B763" t="s">
        <v>396</v>
      </c>
      <c r="C763" t="str">
        <f>TEXT(Table1[[#This Row],[Order_Date]],"mmm")</f>
        <v>Feb</v>
      </c>
      <c r="D763">
        <f>YEAR(Table1[[#This Row],[Order_Date]])</f>
        <v>2025</v>
      </c>
      <c r="E763" t="s">
        <v>55</v>
      </c>
      <c r="F763" t="s">
        <v>56</v>
      </c>
      <c r="G763" t="s">
        <v>80</v>
      </c>
      <c r="H763" t="s">
        <v>1893</v>
      </c>
      <c r="I763" t="s">
        <v>67</v>
      </c>
      <c r="J763" t="s">
        <v>51</v>
      </c>
      <c r="K763">
        <v>21</v>
      </c>
      <c r="L763">
        <v>37137</v>
      </c>
      <c r="M763">
        <v>19090</v>
      </c>
      <c r="N763">
        <v>18047</v>
      </c>
      <c r="O763" s="6">
        <f>Table1[[#This Row],[Profit]]/Table1[[#This Row],[Sales_Amount]]</f>
        <v>0.48595740097476908</v>
      </c>
      <c r="P763" t="s">
        <v>98</v>
      </c>
    </row>
    <row r="764" spans="1:16" x14ac:dyDescent="0.35">
      <c r="A764" t="s">
        <v>1894</v>
      </c>
      <c r="B764" t="s">
        <v>736</v>
      </c>
      <c r="C764" t="str">
        <f>TEXT(Table1[[#This Row],[Order_Date]],"mmm")</f>
        <v>Jul</v>
      </c>
      <c r="D764">
        <f>YEAR(Table1[[#This Row],[Order_Date]])</f>
        <v>2025</v>
      </c>
      <c r="E764" t="s">
        <v>55</v>
      </c>
      <c r="F764" t="s">
        <v>188</v>
      </c>
      <c r="G764" t="s">
        <v>65</v>
      </c>
      <c r="H764" t="s">
        <v>1895</v>
      </c>
      <c r="I764" t="s">
        <v>59</v>
      </c>
      <c r="J764" t="s">
        <v>51</v>
      </c>
      <c r="K764">
        <v>8</v>
      </c>
      <c r="L764">
        <v>40469</v>
      </c>
      <c r="M764">
        <v>27407</v>
      </c>
      <c r="N764">
        <v>13062</v>
      </c>
      <c r="O764" s="6">
        <f>Table1[[#This Row],[Profit]]/Table1[[#This Row],[Sales_Amount]]</f>
        <v>0.32276557364896585</v>
      </c>
      <c r="P764" t="s">
        <v>60</v>
      </c>
    </row>
    <row r="765" spans="1:16" x14ac:dyDescent="0.35">
      <c r="A765" t="s">
        <v>1896</v>
      </c>
      <c r="B765" t="s">
        <v>1225</v>
      </c>
      <c r="C765" t="str">
        <f>TEXT(Table1[[#This Row],[Order_Date]],"mmm")</f>
        <v>Aug</v>
      </c>
      <c r="D765">
        <f>YEAR(Table1[[#This Row],[Order_Date]])</f>
        <v>2025</v>
      </c>
      <c r="E765" t="s">
        <v>63</v>
      </c>
      <c r="F765" t="s">
        <v>64</v>
      </c>
      <c r="G765" t="s">
        <v>65</v>
      </c>
      <c r="H765" t="s">
        <v>1897</v>
      </c>
      <c r="I765" t="s">
        <v>156</v>
      </c>
      <c r="J765" t="s">
        <v>157</v>
      </c>
      <c r="K765">
        <v>6</v>
      </c>
      <c r="L765">
        <v>49740</v>
      </c>
      <c r="M765">
        <v>35722</v>
      </c>
      <c r="N765">
        <v>14018</v>
      </c>
      <c r="O765" s="6">
        <f>Table1[[#This Row],[Profit]]/Table1[[#This Row],[Sales_Amount]]</f>
        <v>0.28182549256131884</v>
      </c>
      <c r="P765" t="s">
        <v>121</v>
      </c>
    </row>
    <row r="766" spans="1:16" x14ac:dyDescent="0.35">
      <c r="A766" t="s">
        <v>1898</v>
      </c>
      <c r="B766" t="s">
        <v>642</v>
      </c>
      <c r="C766" t="str">
        <f>TEXT(Table1[[#This Row],[Order_Date]],"mmm")</f>
        <v>Sep</v>
      </c>
      <c r="D766">
        <f>YEAR(Table1[[#This Row],[Order_Date]])</f>
        <v>2025</v>
      </c>
      <c r="E766" t="s">
        <v>111</v>
      </c>
      <c r="F766" t="s">
        <v>112</v>
      </c>
      <c r="G766" t="s">
        <v>116</v>
      </c>
      <c r="H766" t="s">
        <v>969</v>
      </c>
      <c r="I766" t="s">
        <v>82</v>
      </c>
      <c r="J766" t="s">
        <v>83</v>
      </c>
      <c r="K766">
        <v>13</v>
      </c>
      <c r="L766">
        <v>73059</v>
      </c>
      <c r="M766">
        <v>58445</v>
      </c>
      <c r="N766">
        <v>14614</v>
      </c>
      <c r="O766" s="6">
        <f>Table1[[#This Row],[Profit]]/Table1[[#This Row],[Sales_Amount]]</f>
        <v>0.2000301126486812</v>
      </c>
      <c r="P766" t="s">
        <v>52</v>
      </c>
    </row>
    <row r="767" spans="1:16" x14ac:dyDescent="0.35">
      <c r="A767" t="s">
        <v>1899</v>
      </c>
      <c r="B767" t="s">
        <v>425</v>
      </c>
      <c r="C767" t="str">
        <f>TEXT(Table1[[#This Row],[Order_Date]],"mmm")</f>
        <v>Apr</v>
      </c>
      <c r="D767">
        <f>YEAR(Table1[[#This Row],[Order_Date]])</f>
        <v>2025</v>
      </c>
      <c r="E767" t="s">
        <v>111</v>
      </c>
      <c r="F767" t="s">
        <v>169</v>
      </c>
      <c r="G767" t="s">
        <v>116</v>
      </c>
      <c r="H767" t="s">
        <v>1900</v>
      </c>
      <c r="I767" t="s">
        <v>143</v>
      </c>
      <c r="J767" t="s">
        <v>51</v>
      </c>
      <c r="K767">
        <v>6</v>
      </c>
      <c r="L767">
        <v>13156</v>
      </c>
      <c r="M767">
        <v>6286</v>
      </c>
      <c r="N767">
        <v>6870</v>
      </c>
      <c r="O767" s="6">
        <f>Table1[[#This Row],[Profit]]/Table1[[#This Row],[Sales_Amount]]</f>
        <v>0.52219519610823961</v>
      </c>
      <c r="P767" t="s">
        <v>52</v>
      </c>
    </row>
    <row r="768" spans="1:16" x14ac:dyDescent="0.35">
      <c r="A768" t="s">
        <v>1901</v>
      </c>
      <c r="B768" t="s">
        <v>1385</v>
      </c>
      <c r="C768" t="str">
        <f>TEXT(Table1[[#This Row],[Order_Date]],"mmm")</f>
        <v>Aug</v>
      </c>
      <c r="D768">
        <f>YEAR(Table1[[#This Row],[Order_Date]])</f>
        <v>2025</v>
      </c>
      <c r="E768" t="s">
        <v>111</v>
      </c>
      <c r="F768" t="s">
        <v>112</v>
      </c>
      <c r="G768" t="s">
        <v>48</v>
      </c>
      <c r="H768" t="s">
        <v>1902</v>
      </c>
      <c r="I768" t="s">
        <v>76</v>
      </c>
      <c r="J768" t="s">
        <v>77</v>
      </c>
      <c r="K768">
        <v>5</v>
      </c>
      <c r="L768">
        <v>61923</v>
      </c>
      <c r="M768">
        <v>36471</v>
      </c>
      <c r="N768">
        <v>25452</v>
      </c>
      <c r="O768" s="6">
        <f>Table1[[#This Row],[Profit]]/Table1[[#This Row],[Sales_Amount]]</f>
        <v>0.41102659754856841</v>
      </c>
      <c r="P768" t="s">
        <v>52</v>
      </c>
    </row>
    <row r="769" spans="1:16" x14ac:dyDescent="0.35">
      <c r="A769" t="s">
        <v>1903</v>
      </c>
      <c r="B769" t="s">
        <v>725</v>
      </c>
      <c r="C769" t="str">
        <f>TEXT(Table1[[#This Row],[Order_Date]],"mmm")</f>
        <v>Aug</v>
      </c>
      <c r="D769">
        <f>YEAR(Table1[[#This Row],[Order_Date]])</f>
        <v>2025</v>
      </c>
      <c r="E769" t="s">
        <v>46</v>
      </c>
      <c r="F769" t="s">
        <v>74</v>
      </c>
      <c r="G769" t="s">
        <v>116</v>
      </c>
      <c r="H769" t="s">
        <v>305</v>
      </c>
      <c r="I769" t="s">
        <v>82</v>
      </c>
      <c r="J769" t="s">
        <v>83</v>
      </c>
      <c r="K769">
        <v>1</v>
      </c>
      <c r="L769">
        <v>32572</v>
      </c>
      <c r="M769">
        <v>16307</v>
      </c>
      <c r="N769">
        <v>16265</v>
      </c>
      <c r="O769" s="6">
        <f>Table1[[#This Row],[Profit]]/Table1[[#This Row],[Sales_Amount]]</f>
        <v>0.49935527446886896</v>
      </c>
      <c r="P769" t="s">
        <v>98</v>
      </c>
    </row>
    <row r="770" spans="1:16" x14ac:dyDescent="0.35">
      <c r="A770" t="s">
        <v>1904</v>
      </c>
      <c r="B770" t="s">
        <v>134</v>
      </c>
      <c r="C770" t="str">
        <f>TEXT(Table1[[#This Row],[Order_Date]],"mmm")</f>
        <v>Jun</v>
      </c>
      <c r="D770">
        <f>YEAR(Table1[[#This Row],[Order_Date]])</f>
        <v>2025</v>
      </c>
      <c r="E770" t="s">
        <v>63</v>
      </c>
      <c r="F770" t="s">
        <v>64</v>
      </c>
      <c r="G770" t="s">
        <v>57</v>
      </c>
      <c r="H770" t="s">
        <v>1905</v>
      </c>
      <c r="I770" t="s">
        <v>156</v>
      </c>
      <c r="J770" t="s">
        <v>157</v>
      </c>
      <c r="K770">
        <v>13</v>
      </c>
      <c r="L770">
        <v>85201</v>
      </c>
      <c r="M770">
        <v>42806</v>
      </c>
      <c r="N770">
        <v>42395</v>
      </c>
      <c r="O770" s="6">
        <f>Table1[[#This Row],[Profit]]/Table1[[#This Row],[Sales_Amount]]</f>
        <v>0.49758805647821036</v>
      </c>
      <c r="P770" t="s">
        <v>52</v>
      </c>
    </row>
    <row r="771" spans="1:16" x14ac:dyDescent="0.35">
      <c r="A771" t="s">
        <v>1906</v>
      </c>
      <c r="B771" t="s">
        <v>634</v>
      </c>
      <c r="C771" t="str">
        <f>TEXT(Table1[[#This Row],[Order_Date]],"mmm")</f>
        <v>Jan</v>
      </c>
      <c r="D771">
        <f>YEAR(Table1[[#This Row],[Order_Date]])</f>
        <v>2025</v>
      </c>
      <c r="E771" t="s">
        <v>55</v>
      </c>
      <c r="F771" t="s">
        <v>56</v>
      </c>
      <c r="G771" t="s">
        <v>70</v>
      </c>
      <c r="H771" t="s">
        <v>1907</v>
      </c>
      <c r="I771" t="s">
        <v>59</v>
      </c>
      <c r="J771" t="s">
        <v>51</v>
      </c>
      <c r="K771">
        <v>24</v>
      </c>
      <c r="L771">
        <v>56643</v>
      </c>
      <c r="M771">
        <v>32372</v>
      </c>
      <c r="N771">
        <v>24271</v>
      </c>
      <c r="O771" s="6">
        <f>Table1[[#This Row],[Profit]]/Table1[[#This Row],[Sales_Amount]]</f>
        <v>0.4284907225959077</v>
      </c>
      <c r="P771" t="s">
        <v>60</v>
      </c>
    </row>
    <row r="772" spans="1:16" x14ac:dyDescent="0.35">
      <c r="A772" t="s">
        <v>1908</v>
      </c>
      <c r="B772" t="s">
        <v>1603</v>
      </c>
      <c r="C772" t="str">
        <f>TEXT(Table1[[#This Row],[Order_Date]],"mmm")</f>
        <v>May</v>
      </c>
      <c r="D772">
        <f>YEAR(Table1[[#This Row],[Order_Date]])</f>
        <v>2025</v>
      </c>
      <c r="E772" t="s">
        <v>111</v>
      </c>
      <c r="F772" t="s">
        <v>112</v>
      </c>
      <c r="G772" t="s">
        <v>57</v>
      </c>
      <c r="H772" t="s">
        <v>1909</v>
      </c>
      <c r="I772" t="s">
        <v>125</v>
      </c>
      <c r="J772" t="s">
        <v>83</v>
      </c>
      <c r="K772">
        <v>8</v>
      </c>
      <c r="L772">
        <v>63736</v>
      </c>
      <c r="M772">
        <v>31946</v>
      </c>
      <c r="N772">
        <v>31790</v>
      </c>
      <c r="O772" s="6">
        <f>Table1[[#This Row],[Profit]]/Table1[[#This Row],[Sales_Amount]]</f>
        <v>0.49877620183255933</v>
      </c>
      <c r="P772" t="s">
        <v>52</v>
      </c>
    </row>
    <row r="773" spans="1:16" x14ac:dyDescent="0.35">
      <c r="A773" t="s">
        <v>1910</v>
      </c>
      <c r="B773" t="s">
        <v>175</v>
      </c>
      <c r="C773" t="str">
        <f>TEXT(Table1[[#This Row],[Order_Date]],"mmm")</f>
        <v>Jan</v>
      </c>
      <c r="D773">
        <f>YEAR(Table1[[#This Row],[Order_Date]])</f>
        <v>2025</v>
      </c>
      <c r="E773" t="s">
        <v>63</v>
      </c>
      <c r="F773" t="s">
        <v>104</v>
      </c>
      <c r="G773" t="s">
        <v>128</v>
      </c>
      <c r="H773" t="s">
        <v>1911</v>
      </c>
      <c r="I773" t="s">
        <v>82</v>
      </c>
      <c r="J773" t="s">
        <v>83</v>
      </c>
      <c r="K773">
        <v>1</v>
      </c>
      <c r="L773">
        <v>21209</v>
      </c>
      <c r="M773">
        <v>9784</v>
      </c>
      <c r="N773">
        <v>11425</v>
      </c>
      <c r="O773" s="6">
        <f>Table1[[#This Row],[Profit]]/Table1[[#This Row],[Sales_Amount]]</f>
        <v>0.53868640671413082</v>
      </c>
      <c r="P773" t="s">
        <v>60</v>
      </c>
    </row>
    <row r="774" spans="1:16" x14ac:dyDescent="0.35">
      <c r="A774" t="s">
        <v>1912</v>
      </c>
      <c r="B774" t="s">
        <v>1048</v>
      </c>
      <c r="C774" t="str">
        <f>TEXT(Table1[[#This Row],[Order_Date]],"mmm")</f>
        <v>Nov</v>
      </c>
      <c r="D774">
        <f>YEAR(Table1[[#This Row],[Order_Date]])</f>
        <v>2025</v>
      </c>
      <c r="E774" t="s">
        <v>63</v>
      </c>
      <c r="F774" t="s">
        <v>104</v>
      </c>
      <c r="G774" t="s">
        <v>128</v>
      </c>
      <c r="H774" t="s">
        <v>1913</v>
      </c>
      <c r="I774" t="s">
        <v>125</v>
      </c>
      <c r="J774" t="s">
        <v>83</v>
      </c>
      <c r="K774">
        <v>21</v>
      </c>
      <c r="L774">
        <v>93090</v>
      </c>
      <c r="M774">
        <v>75486</v>
      </c>
      <c r="N774">
        <v>17604</v>
      </c>
      <c r="O774" s="6">
        <f>Table1[[#This Row],[Profit]]/Table1[[#This Row],[Sales_Amount]]</f>
        <v>0.18910731550112794</v>
      </c>
      <c r="P774" t="s">
        <v>52</v>
      </c>
    </row>
    <row r="775" spans="1:16" x14ac:dyDescent="0.35">
      <c r="A775" t="s">
        <v>1914</v>
      </c>
      <c r="B775" t="s">
        <v>1564</v>
      </c>
      <c r="C775" t="str">
        <f>TEXT(Table1[[#This Row],[Order_Date]],"mmm")</f>
        <v>Oct</v>
      </c>
      <c r="D775">
        <f>YEAR(Table1[[#This Row],[Order_Date]])</f>
        <v>2025</v>
      </c>
      <c r="E775" t="s">
        <v>111</v>
      </c>
      <c r="F775" t="s">
        <v>169</v>
      </c>
      <c r="G775" t="s">
        <v>138</v>
      </c>
      <c r="H775" t="s">
        <v>1915</v>
      </c>
      <c r="I775" t="s">
        <v>82</v>
      </c>
      <c r="J775" t="s">
        <v>83</v>
      </c>
      <c r="K775">
        <v>14</v>
      </c>
      <c r="L775">
        <v>109418</v>
      </c>
      <c r="M775">
        <v>82307</v>
      </c>
      <c r="N775">
        <v>27111</v>
      </c>
      <c r="O775" s="6">
        <f>Table1[[#This Row],[Profit]]/Table1[[#This Row],[Sales_Amount]]</f>
        <v>0.24777458919007841</v>
      </c>
      <c r="P775" t="s">
        <v>60</v>
      </c>
    </row>
    <row r="776" spans="1:16" x14ac:dyDescent="0.35">
      <c r="A776" t="s">
        <v>1916</v>
      </c>
      <c r="B776" t="s">
        <v>666</v>
      </c>
      <c r="C776" t="str">
        <f>TEXT(Table1[[#This Row],[Order_Date]],"mmm")</f>
        <v>Jul</v>
      </c>
      <c r="D776">
        <f>YEAR(Table1[[#This Row],[Order_Date]])</f>
        <v>2025</v>
      </c>
      <c r="E776" t="s">
        <v>46</v>
      </c>
      <c r="F776" t="s">
        <v>47</v>
      </c>
      <c r="G776" t="s">
        <v>70</v>
      </c>
      <c r="H776" t="s">
        <v>1917</v>
      </c>
      <c r="I776" t="s">
        <v>76</v>
      </c>
      <c r="J776" t="s">
        <v>77</v>
      </c>
      <c r="K776">
        <v>10</v>
      </c>
      <c r="L776">
        <v>115073</v>
      </c>
      <c r="M776">
        <v>70473</v>
      </c>
      <c r="N776">
        <v>44600</v>
      </c>
      <c r="O776" s="6">
        <f>Table1[[#This Row],[Profit]]/Table1[[#This Row],[Sales_Amount]]</f>
        <v>0.38758005787630462</v>
      </c>
      <c r="P776" t="s">
        <v>121</v>
      </c>
    </row>
    <row r="777" spans="1:16" x14ac:dyDescent="0.35">
      <c r="A777" t="s">
        <v>1918</v>
      </c>
      <c r="B777" t="s">
        <v>1223</v>
      </c>
      <c r="C777" t="str">
        <f>TEXT(Table1[[#This Row],[Order_Date]],"mmm")</f>
        <v>Feb</v>
      </c>
      <c r="D777">
        <f>YEAR(Table1[[#This Row],[Order_Date]])</f>
        <v>2025</v>
      </c>
      <c r="E777" t="s">
        <v>63</v>
      </c>
      <c r="F777" t="s">
        <v>64</v>
      </c>
      <c r="G777" t="s">
        <v>138</v>
      </c>
      <c r="H777" t="s">
        <v>1919</v>
      </c>
      <c r="I777" t="s">
        <v>59</v>
      </c>
      <c r="J777" t="s">
        <v>51</v>
      </c>
      <c r="K777">
        <v>25</v>
      </c>
      <c r="L777">
        <v>75738</v>
      </c>
      <c r="M777">
        <v>47499</v>
      </c>
      <c r="N777">
        <v>28239</v>
      </c>
      <c r="O777" s="6">
        <f>Table1[[#This Row],[Profit]]/Table1[[#This Row],[Sales_Amount]]</f>
        <v>0.37285114473579972</v>
      </c>
      <c r="P777" t="s">
        <v>98</v>
      </c>
    </row>
    <row r="778" spans="1:16" x14ac:dyDescent="0.35">
      <c r="A778" t="s">
        <v>1920</v>
      </c>
      <c r="B778" t="s">
        <v>428</v>
      </c>
      <c r="C778" t="str">
        <f>TEXT(Table1[[#This Row],[Order_Date]],"mmm")</f>
        <v>Jan</v>
      </c>
      <c r="D778">
        <f>YEAR(Table1[[#This Row],[Order_Date]])</f>
        <v>2025</v>
      </c>
      <c r="E778" t="s">
        <v>46</v>
      </c>
      <c r="F778" t="s">
        <v>74</v>
      </c>
      <c r="G778" t="s">
        <v>70</v>
      </c>
      <c r="H778" t="s">
        <v>1921</v>
      </c>
      <c r="I778" t="s">
        <v>82</v>
      </c>
      <c r="J778" t="s">
        <v>83</v>
      </c>
      <c r="K778">
        <v>18</v>
      </c>
      <c r="L778">
        <v>46356</v>
      </c>
      <c r="M778">
        <v>23551</v>
      </c>
      <c r="N778">
        <v>22805</v>
      </c>
      <c r="O778" s="6">
        <f>Table1[[#This Row],[Profit]]/Table1[[#This Row],[Sales_Amount]]</f>
        <v>0.49195357666752954</v>
      </c>
      <c r="P778" t="s">
        <v>60</v>
      </c>
    </row>
    <row r="779" spans="1:16" x14ac:dyDescent="0.35">
      <c r="A779" t="s">
        <v>1922</v>
      </c>
      <c r="B779" t="s">
        <v>840</v>
      </c>
      <c r="C779" t="str">
        <f>TEXT(Table1[[#This Row],[Order_Date]],"mmm")</f>
        <v>Jun</v>
      </c>
      <c r="D779">
        <f>YEAR(Table1[[#This Row],[Order_Date]])</f>
        <v>2025</v>
      </c>
      <c r="E779" t="s">
        <v>63</v>
      </c>
      <c r="F779" t="s">
        <v>64</v>
      </c>
      <c r="G779" t="s">
        <v>57</v>
      </c>
      <c r="H779" t="s">
        <v>1923</v>
      </c>
      <c r="I779" t="s">
        <v>76</v>
      </c>
      <c r="J779" t="s">
        <v>77</v>
      </c>
      <c r="K779">
        <v>7</v>
      </c>
      <c r="L779">
        <v>106099</v>
      </c>
      <c r="M779">
        <v>51625</v>
      </c>
      <c r="N779">
        <v>54474</v>
      </c>
      <c r="O779" s="6">
        <f>Table1[[#This Row],[Profit]]/Table1[[#This Row],[Sales_Amount]]</f>
        <v>0.51342613973741502</v>
      </c>
      <c r="P779" t="s">
        <v>60</v>
      </c>
    </row>
    <row r="780" spans="1:16" x14ac:dyDescent="0.35">
      <c r="A780" t="s">
        <v>1924</v>
      </c>
      <c r="B780" t="s">
        <v>212</v>
      </c>
      <c r="C780" t="str">
        <f>TEXT(Table1[[#This Row],[Order_Date]],"mmm")</f>
        <v>Feb</v>
      </c>
      <c r="D780">
        <f>YEAR(Table1[[#This Row],[Order_Date]])</f>
        <v>2025</v>
      </c>
      <c r="E780" t="s">
        <v>111</v>
      </c>
      <c r="F780" t="s">
        <v>112</v>
      </c>
      <c r="G780" t="s">
        <v>116</v>
      </c>
      <c r="H780" t="s">
        <v>1925</v>
      </c>
      <c r="I780" t="s">
        <v>82</v>
      </c>
      <c r="J780" t="s">
        <v>83</v>
      </c>
      <c r="K780">
        <v>2</v>
      </c>
      <c r="L780">
        <v>27166</v>
      </c>
      <c r="M780">
        <v>18421</v>
      </c>
      <c r="N780">
        <v>8745</v>
      </c>
      <c r="O780" s="6">
        <f>Table1[[#This Row],[Profit]]/Table1[[#This Row],[Sales_Amount]]</f>
        <v>0.3219097401163219</v>
      </c>
      <c r="P780" t="s">
        <v>52</v>
      </c>
    </row>
    <row r="781" spans="1:16" x14ac:dyDescent="0.35">
      <c r="A781" t="s">
        <v>1926</v>
      </c>
      <c r="B781" t="s">
        <v>831</v>
      </c>
      <c r="C781" t="str">
        <f>TEXT(Table1[[#This Row],[Order_Date]],"mmm")</f>
        <v>Apr</v>
      </c>
      <c r="D781">
        <f>YEAR(Table1[[#This Row],[Order_Date]])</f>
        <v>2025</v>
      </c>
      <c r="E781" t="s">
        <v>46</v>
      </c>
      <c r="F781" t="s">
        <v>74</v>
      </c>
      <c r="G781" t="s">
        <v>138</v>
      </c>
      <c r="H781" t="s">
        <v>1927</v>
      </c>
      <c r="I781" t="s">
        <v>50</v>
      </c>
      <c r="J781" t="s">
        <v>51</v>
      </c>
      <c r="K781">
        <v>8</v>
      </c>
      <c r="L781">
        <v>91570</v>
      </c>
      <c r="M781">
        <v>63714</v>
      </c>
      <c r="N781">
        <v>27856</v>
      </c>
      <c r="O781" s="6">
        <f>Table1[[#This Row],[Profit]]/Table1[[#This Row],[Sales_Amount]]</f>
        <v>0.3042044337665174</v>
      </c>
      <c r="P781" t="s">
        <v>52</v>
      </c>
    </row>
    <row r="782" spans="1:16" x14ac:dyDescent="0.35">
      <c r="A782" t="s">
        <v>1928</v>
      </c>
      <c r="B782" t="s">
        <v>796</v>
      </c>
      <c r="C782" t="str">
        <f>TEXT(Table1[[#This Row],[Order_Date]],"mmm")</f>
        <v>Sep</v>
      </c>
      <c r="D782">
        <f>YEAR(Table1[[#This Row],[Order_Date]])</f>
        <v>2025</v>
      </c>
      <c r="E782" t="s">
        <v>55</v>
      </c>
      <c r="F782" t="s">
        <v>56</v>
      </c>
      <c r="G782" t="s">
        <v>80</v>
      </c>
      <c r="H782" t="s">
        <v>1929</v>
      </c>
      <c r="I782" t="s">
        <v>125</v>
      </c>
      <c r="J782" t="s">
        <v>83</v>
      </c>
      <c r="K782">
        <v>4</v>
      </c>
      <c r="L782">
        <v>13260</v>
      </c>
      <c r="M782">
        <v>11063</v>
      </c>
      <c r="N782">
        <v>2197</v>
      </c>
      <c r="O782" s="6">
        <f>Table1[[#This Row],[Profit]]/Table1[[#This Row],[Sales_Amount]]</f>
        <v>0.16568627450980392</v>
      </c>
      <c r="P782" t="s">
        <v>121</v>
      </c>
    </row>
    <row r="783" spans="1:16" x14ac:dyDescent="0.35">
      <c r="A783" t="s">
        <v>1930</v>
      </c>
      <c r="B783" t="s">
        <v>1862</v>
      </c>
      <c r="C783" t="str">
        <f>TEXT(Table1[[#This Row],[Order_Date]],"mmm")</f>
        <v>Oct</v>
      </c>
      <c r="D783">
        <f>YEAR(Table1[[#This Row],[Order_Date]])</f>
        <v>2025</v>
      </c>
      <c r="E783" t="s">
        <v>111</v>
      </c>
      <c r="F783" t="s">
        <v>112</v>
      </c>
      <c r="G783" t="s">
        <v>48</v>
      </c>
      <c r="H783" t="s">
        <v>1931</v>
      </c>
      <c r="I783" t="s">
        <v>82</v>
      </c>
      <c r="J783" t="s">
        <v>83</v>
      </c>
      <c r="K783">
        <v>20</v>
      </c>
      <c r="L783">
        <v>57175</v>
      </c>
      <c r="M783">
        <v>46001</v>
      </c>
      <c r="N783">
        <v>11174</v>
      </c>
      <c r="O783" s="6">
        <f>Table1[[#This Row],[Profit]]/Table1[[#This Row],[Sales_Amount]]</f>
        <v>0.19543506777437691</v>
      </c>
      <c r="P783" t="s">
        <v>98</v>
      </c>
    </row>
    <row r="784" spans="1:16" x14ac:dyDescent="0.35">
      <c r="A784" t="s">
        <v>1932</v>
      </c>
      <c r="B784" t="s">
        <v>657</v>
      </c>
      <c r="C784" t="str">
        <f>TEXT(Table1[[#This Row],[Order_Date]],"mmm")</f>
        <v>Jul</v>
      </c>
      <c r="D784">
        <f>YEAR(Table1[[#This Row],[Order_Date]])</f>
        <v>2025</v>
      </c>
      <c r="E784" t="s">
        <v>63</v>
      </c>
      <c r="F784" t="s">
        <v>104</v>
      </c>
      <c r="G784" t="s">
        <v>128</v>
      </c>
      <c r="H784" t="s">
        <v>1933</v>
      </c>
      <c r="I784" t="s">
        <v>67</v>
      </c>
      <c r="J784" t="s">
        <v>51</v>
      </c>
      <c r="K784">
        <v>25</v>
      </c>
      <c r="L784">
        <v>5724</v>
      </c>
      <c r="M784">
        <v>4110</v>
      </c>
      <c r="N784">
        <v>1614</v>
      </c>
      <c r="O784" s="6">
        <f>Table1[[#This Row],[Profit]]/Table1[[#This Row],[Sales_Amount]]</f>
        <v>0.28197064989517817</v>
      </c>
      <c r="P784" t="s">
        <v>121</v>
      </c>
    </row>
    <row r="785" spans="1:16" x14ac:dyDescent="0.35">
      <c r="A785" t="s">
        <v>1934</v>
      </c>
      <c r="B785" t="s">
        <v>1285</v>
      </c>
      <c r="C785" t="str">
        <f>TEXT(Table1[[#This Row],[Order_Date]],"mmm")</f>
        <v>Apr</v>
      </c>
      <c r="D785">
        <f>YEAR(Table1[[#This Row],[Order_Date]])</f>
        <v>2025</v>
      </c>
      <c r="E785" t="s">
        <v>63</v>
      </c>
      <c r="F785" t="s">
        <v>64</v>
      </c>
      <c r="G785" t="s">
        <v>80</v>
      </c>
      <c r="H785" t="s">
        <v>1935</v>
      </c>
      <c r="I785" t="s">
        <v>87</v>
      </c>
      <c r="J785" t="s">
        <v>88</v>
      </c>
      <c r="K785">
        <v>24</v>
      </c>
      <c r="L785">
        <v>27235</v>
      </c>
      <c r="M785">
        <v>19302</v>
      </c>
      <c r="N785">
        <v>7933</v>
      </c>
      <c r="O785" s="6">
        <f>Table1[[#This Row],[Profit]]/Table1[[#This Row],[Sales_Amount]]</f>
        <v>0.29127960345144116</v>
      </c>
      <c r="P785" t="s">
        <v>52</v>
      </c>
    </row>
    <row r="786" spans="1:16" x14ac:dyDescent="0.35">
      <c r="A786" t="s">
        <v>1936</v>
      </c>
      <c r="B786" t="s">
        <v>1807</v>
      </c>
      <c r="C786" t="str">
        <f>TEXT(Table1[[#This Row],[Order_Date]],"mmm")</f>
        <v>Aug</v>
      </c>
      <c r="D786">
        <f>YEAR(Table1[[#This Row],[Order_Date]])</f>
        <v>2025</v>
      </c>
      <c r="E786" t="s">
        <v>63</v>
      </c>
      <c r="F786" t="s">
        <v>104</v>
      </c>
      <c r="G786" t="s">
        <v>48</v>
      </c>
      <c r="H786" t="s">
        <v>1937</v>
      </c>
      <c r="I786" t="s">
        <v>59</v>
      </c>
      <c r="J786" t="s">
        <v>51</v>
      </c>
      <c r="K786">
        <v>13</v>
      </c>
      <c r="L786">
        <v>7638</v>
      </c>
      <c r="M786">
        <v>3438</v>
      </c>
      <c r="N786">
        <v>4200</v>
      </c>
      <c r="O786" s="6">
        <f>Table1[[#This Row],[Profit]]/Table1[[#This Row],[Sales_Amount]]</f>
        <v>0.54988216810683421</v>
      </c>
      <c r="P786" t="s">
        <v>98</v>
      </c>
    </row>
    <row r="787" spans="1:16" x14ac:dyDescent="0.35">
      <c r="A787" t="s">
        <v>1938</v>
      </c>
      <c r="B787" t="s">
        <v>348</v>
      </c>
      <c r="C787" t="str">
        <f>TEXT(Table1[[#This Row],[Order_Date]],"mmm")</f>
        <v>Feb</v>
      </c>
      <c r="D787">
        <f>YEAR(Table1[[#This Row],[Order_Date]])</f>
        <v>2025</v>
      </c>
      <c r="E787" t="s">
        <v>46</v>
      </c>
      <c r="F787" t="s">
        <v>74</v>
      </c>
      <c r="G787" t="s">
        <v>48</v>
      </c>
      <c r="H787" t="s">
        <v>1939</v>
      </c>
      <c r="I787" t="s">
        <v>125</v>
      </c>
      <c r="J787" t="s">
        <v>83</v>
      </c>
      <c r="K787">
        <v>8</v>
      </c>
      <c r="L787">
        <v>94494</v>
      </c>
      <c r="M787">
        <v>55396</v>
      </c>
      <c r="N787">
        <v>39098</v>
      </c>
      <c r="O787" s="6">
        <f>Table1[[#This Row],[Profit]]/Table1[[#This Row],[Sales_Amount]]</f>
        <v>0.41376172032086694</v>
      </c>
      <c r="P787" t="s">
        <v>121</v>
      </c>
    </row>
    <row r="788" spans="1:16" x14ac:dyDescent="0.35">
      <c r="A788" t="s">
        <v>1940</v>
      </c>
      <c r="B788" t="s">
        <v>417</v>
      </c>
      <c r="C788" t="str">
        <f>TEXT(Table1[[#This Row],[Order_Date]],"mmm")</f>
        <v>Feb</v>
      </c>
      <c r="D788">
        <f>YEAR(Table1[[#This Row],[Order_Date]])</f>
        <v>2025</v>
      </c>
      <c r="E788" t="s">
        <v>55</v>
      </c>
      <c r="F788" t="s">
        <v>188</v>
      </c>
      <c r="G788" t="s">
        <v>80</v>
      </c>
      <c r="H788" t="s">
        <v>1941</v>
      </c>
      <c r="I788" t="s">
        <v>87</v>
      </c>
      <c r="J788" t="s">
        <v>88</v>
      </c>
      <c r="K788">
        <v>12</v>
      </c>
      <c r="L788">
        <v>115581</v>
      </c>
      <c r="M788">
        <v>61316</v>
      </c>
      <c r="N788">
        <v>54265</v>
      </c>
      <c r="O788" s="6">
        <f>Table1[[#This Row],[Profit]]/Table1[[#This Row],[Sales_Amount]]</f>
        <v>0.46949758178247292</v>
      </c>
      <c r="P788" t="s">
        <v>98</v>
      </c>
    </row>
    <row r="789" spans="1:16" x14ac:dyDescent="0.35">
      <c r="A789" t="s">
        <v>1942</v>
      </c>
      <c r="B789" t="s">
        <v>1603</v>
      </c>
      <c r="C789" t="str">
        <f>TEXT(Table1[[#This Row],[Order_Date]],"mmm")</f>
        <v>May</v>
      </c>
      <c r="D789">
        <f>YEAR(Table1[[#This Row],[Order_Date]])</f>
        <v>2025</v>
      </c>
      <c r="E789" t="s">
        <v>55</v>
      </c>
      <c r="F789" t="s">
        <v>188</v>
      </c>
      <c r="G789" t="s">
        <v>138</v>
      </c>
      <c r="H789" t="s">
        <v>1943</v>
      </c>
      <c r="I789" t="s">
        <v>143</v>
      </c>
      <c r="J789" t="s">
        <v>51</v>
      </c>
      <c r="K789">
        <v>23</v>
      </c>
      <c r="L789">
        <v>17239</v>
      </c>
      <c r="M789">
        <v>12548</v>
      </c>
      <c r="N789">
        <v>4691</v>
      </c>
      <c r="O789" s="6">
        <f>Table1[[#This Row],[Profit]]/Table1[[#This Row],[Sales_Amount]]</f>
        <v>0.2721155519461686</v>
      </c>
      <c r="P789" t="s">
        <v>121</v>
      </c>
    </row>
    <row r="790" spans="1:16" x14ac:dyDescent="0.35">
      <c r="A790" t="s">
        <v>1944</v>
      </c>
      <c r="B790" t="s">
        <v>1029</v>
      </c>
      <c r="C790" t="str">
        <f>TEXT(Table1[[#This Row],[Order_Date]],"mmm")</f>
        <v>Jun</v>
      </c>
      <c r="D790">
        <f>YEAR(Table1[[#This Row],[Order_Date]])</f>
        <v>2025</v>
      </c>
      <c r="E790" t="s">
        <v>63</v>
      </c>
      <c r="F790" t="s">
        <v>104</v>
      </c>
      <c r="G790" t="s">
        <v>48</v>
      </c>
      <c r="H790" t="s">
        <v>1945</v>
      </c>
      <c r="I790" t="s">
        <v>67</v>
      </c>
      <c r="J790" t="s">
        <v>51</v>
      </c>
      <c r="K790">
        <v>20</v>
      </c>
      <c r="L790">
        <v>112566</v>
      </c>
      <c r="M790">
        <v>81194</v>
      </c>
      <c r="N790">
        <v>31372</v>
      </c>
      <c r="O790" s="6">
        <f>Table1[[#This Row],[Profit]]/Table1[[#This Row],[Sales_Amount]]</f>
        <v>0.27869871897375764</v>
      </c>
      <c r="P790" t="s">
        <v>98</v>
      </c>
    </row>
    <row r="791" spans="1:16" x14ac:dyDescent="0.35">
      <c r="A791" t="s">
        <v>1946</v>
      </c>
      <c r="B791" t="s">
        <v>363</v>
      </c>
      <c r="C791" t="str">
        <f>TEXT(Table1[[#This Row],[Order_Date]],"mmm")</f>
        <v>Dec</v>
      </c>
      <c r="D791">
        <f>YEAR(Table1[[#This Row],[Order_Date]])</f>
        <v>2025</v>
      </c>
      <c r="E791" t="s">
        <v>46</v>
      </c>
      <c r="F791" t="s">
        <v>47</v>
      </c>
      <c r="G791" t="s">
        <v>138</v>
      </c>
      <c r="H791" t="s">
        <v>1947</v>
      </c>
      <c r="I791" t="s">
        <v>82</v>
      </c>
      <c r="J791" t="s">
        <v>83</v>
      </c>
      <c r="K791">
        <v>1</v>
      </c>
      <c r="L791">
        <v>77148</v>
      </c>
      <c r="M791">
        <v>65459</v>
      </c>
      <c r="N791">
        <v>11689</v>
      </c>
      <c r="O791" s="6">
        <f>Table1[[#This Row],[Profit]]/Table1[[#This Row],[Sales_Amount]]</f>
        <v>0.15151397314253123</v>
      </c>
      <c r="P791" t="s">
        <v>52</v>
      </c>
    </row>
    <row r="792" spans="1:16" x14ac:dyDescent="0.35">
      <c r="A792" t="s">
        <v>1948</v>
      </c>
      <c r="B792" t="s">
        <v>634</v>
      </c>
      <c r="C792" t="str">
        <f>TEXT(Table1[[#This Row],[Order_Date]],"mmm")</f>
        <v>Jan</v>
      </c>
      <c r="D792">
        <f>YEAR(Table1[[#This Row],[Order_Date]])</f>
        <v>2025</v>
      </c>
      <c r="E792" t="s">
        <v>55</v>
      </c>
      <c r="F792" t="s">
        <v>188</v>
      </c>
      <c r="G792" t="s">
        <v>48</v>
      </c>
      <c r="H792" t="s">
        <v>1949</v>
      </c>
      <c r="I792" t="s">
        <v>82</v>
      </c>
      <c r="J792" t="s">
        <v>83</v>
      </c>
      <c r="K792">
        <v>8</v>
      </c>
      <c r="L792">
        <v>70634</v>
      </c>
      <c r="M792">
        <v>48672</v>
      </c>
      <c r="N792">
        <v>21962</v>
      </c>
      <c r="O792" s="6">
        <f>Table1[[#This Row],[Profit]]/Table1[[#This Row],[Sales_Amount]]</f>
        <v>0.31092674915762947</v>
      </c>
      <c r="P792" t="s">
        <v>98</v>
      </c>
    </row>
    <row r="793" spans="1:16" x14ac:dyDescent="0.35">
      <c r="A793" t="s">
        <v>1950</v>
      </c>
      <c r="B793" t="s">
        <v>391</v>
      </c>
      <c r="C793" t="str">
        <f>TEXT(Table1[[#This Row],[Order_Date]],"mmm")</f>
        <v>Jan</v>
      </c>
      <c r="D793">
        <f>YEAR(Table1[[#This Row],[Order_Date]])</f>
        <v>2025</v>
      </c>
      <c r="E793" t="s">
        <v>55</v>
      </c>
      <c r="F793" t="s">
        <v>56</v>
      </c>
      <c r="G793" t="s">
        <v>80</v>
      </c>
      <c r="H793" t="s">
        <v>1951</v>
      </c>
      <c r="I793" t="s">
        <v>59</v>
      </c>
      <c r="J793" t="s">
        <v>51</v>
      </c>
      <c r="K793">
        <v>20</v>
      </c>
      <c r="L793">
        <v>35464</v>
      </c>
      <c r="M793">
        <v>20960</v>
      </c>
      <c r="N793">
        <v>14504</v>
      </c>
      <c r="O793" s="6">
        <f>Table1[[#This Row],[Profit]]/Table1[[#This Row],[Sales_Amount]]</f>
        <v>0.40897811865553801</v>
      </c>
      <c r="P793" t="s">
        <v>60</v>
      </c>
    </row>
    <row r="794" spans="1:16" x14ac:dyDescent="0.35">
      <c r="A794" t="s">
        <v>1952</v>
      </c>
      <c r="B794" t="s">
        <v>1417</v>
      </c>
      <c r="C794" t="str">
        <f>TEXT(Table1[[#This Row],[Order_Date]],"mmm")</f>
        <v>Jun</v>
      </c>
      <c r="D794">
        <f>YEAR(Table1[[#This Row],[Order_Date]])</f>
        <v>2025</v>
      </c>
      <c r="E794" t="s">
        <v>63</v>
      </c>
      <c r="F794" t="s">
        <v>104</v>
      </c>
      <c r="G794" t="s">
        <v>48</v>
      </c>
      <c r="H794" t="s">
        <v>1953</v>
      </c>
      <c r="I794" t="s">
        <v>50</v>
      </c>
      <c r="J794" t="s">
        <v>51</v>
      </c>
      <c r="K794">
        <v>11</v>
      </c>
      <c r="L794">
        <v>10666</v>
      </c>
      <c r="M794">
        <v>5184</v>
      </c>
      <c r="N794">
        <v>5482</v>
      </c>
      <c r="O794" s="6">
        <f>Table1[[#This Row],[Profit]]/Table1[[#This Row],[Sales_Amount]]</f>
        <v>0.5139696231014439</v>
      </c>
      <c r="P794" t="s">
        <v>52</v>
      </c>
    </row>
    <row r="795" spans="1:16" x14ac:dyDescent="0.35">
      <c r="A795" t="s">
        <v>1954</v>
      </c>
      <c r="B795" t="s">
        <v>515</v>
      </c>
      <c r="C795" t="str">
        <f>TEXT(Table1[[#This Row],[Order_Date]],"mmm")</f>
        <v>Nov</v>
      </c>
      <c r="D795">
        <f>YEAR(Table1[[#This Row],[Order_Date]])</f>
        <v>2025</v>
      </c>
      <c r="E795" t="s">
        <v>46</v>
      </c>
      <c r="F795" t="s">
        <v>47</v>
      </c>
      <c r="G795" t="s">
        <v>65</v>
      </c>
      <c r="H795" t="s">
        <v>1125</v>
      </c>
      <c r="I795" t="s">
        <v>76</v>
      </c>
      <c r="J795" t="s">
        <v>77</v>
      </c>
      <c r="K795">
        <v>16</v>
      </c>
      <c r="L795">
        <v>114693</v>
      </c>
      <c r="M795">
        <v>90426</v>
      </c>
      <c r="N795">
        <v>24267</v>
      </c>
      <c r="O795" s="6">
        <f>Table1[[#This Row],[Profit]]/Table1[[#This Row],[Sales_Amount]]</f>
        <v>0.21158222384975545</v>
      </c>
      <c r="P795" t="s">
        <v>60</v>
      </c>
    </row>
    <row r="796" spans="1:16" x14ac:dyDescent="0.35">
      <c r="A796" t="s">
        <v>1955</v>
      </c>
      <c r="B796" t="s">
        <v>168</v>
      </c>
      <c r="C796" t="str">
        <f>TEXT(Table1[[#This Row],[Order_Date]],"mmm")</f>
        <v>Jul</v>
      </c>
      <c r="D796">
        <f>YEAR(Table1[[#This Row],[Order_Date]])</f>
        <v>2025</v>
      </c>
      <c r="E796" t="s">
        <v>111</v>
      </c>
      <c r="F796" t="s">
        <v>169</v>
      </c>
      <c r="G796" t="s">
        <v>57</v>
      </c>
      <c r="H796" t="s">
        <v>1956</v>
      </c>
      <c r="I796" t="s">
        <v>156</v>
      </c>
      <c r="J796" t="s">
        <v>157</v>
      </c>
      <c r="K796">
        <v>16</v>
      </c>
      <c r="L796">
        <v>54752</v>
      </c>
      <c r="M796">
        <v>45159</v>
      </c>
      <c r="N796">
        <v>9593</v>
      </c>
      <c r="O796" s="6">
        <f>Table1[[#This Row],[Profit]]/Table1[[#This Row],[Sales_Amount]]</f>
        <v>0.17520821157218</v>
      </c>
      <c r="P796" t="s">
        <v>98</v>
      </c>
    </row>
    <row r="797" spans="1:16" x14ac:dyDescent="0.35">
      <c r="A797" t="s">
        <v>1957</v>
      </c>
      <c r="B797" t="s">
        <v>603</v>
      </c>
      <c r="C797" t="str">
        <f>TEXT(Table1[[#This Row],[Order_Date]],"mmm")</f>
        <v>Jan</v>
      </c>
      <c r="D797">
        <f>YEAR(Table1[[#This Row],[Order_Date]])</f>
        <v>2025</v>
      </c>
      <c r="E797" t="s">
        <v>46</v>
      </c>
      <c r="F797" t="s">
        <v>47</v>
      </c>
      <c r="G797" t="s">
        <v>128</v>
      </c>
      <c r="H797" t="s">
        <v>1958</v>
      </c>
      <c r="I797" t="s">
        <v>125</v>
      </c>
      <c r="J797" t="s">
        <v>83</v>
      </c>
      <c r="K797">
        <v>25</v>
      </c>
      <c r="L797">
        <v>85356</v>
      </c>
      <c r="M797">
        <v>63531</v>
      </c>
      <c r="N797">
        <v>21825</v>
      </c>
      <c r="O797" s="6">
        <f>Table1[[#This Row],[Profit]]/Table1[[#This Row],[Sales_Amount]]</f>
        <v>0.25569380008435261</v>
      </c>
      <c r="P797" t="s">
        <v>121</v>
      </c>
    </row>
    <row r="798" spans="1:16" x14ac:dyDescent="0.35">
      <c r="A798" t="s">
        <v>1959</v>
      </c>
      <c r="B798" t="s">
        <v>840</v>
      </c>
      <c r="C798" t="str">
        <f>TEXT(Table1[[#This Row],[Order_Date]],"mmm")</f>
        <v>Jun</v>
      </c>
      <c r="D798">
        <f>YEAR(Table1[[#This Row],[Order_Date]])</f>
        <v>2025</v>
      </c>
      <c r="E798" t="s">
        <v>55</v>
      </c>
      <c r="F798" t="s">
        <v>56</v>
      </c>
      <c r="G798" t="s">
        <v>70</v>
      </c>
      <c r="H798" t="s">
        <v>1960</v>
      </c>
      <c r="I798" t="s">
        <v>76</v>
      </c>
      <c r="J798" t="s">
        <v>77</v>
      </c>
      <c r="K798">
        <v>2</v>
      </c>
      <c r="L798">
        <v>108946</v>
      </c>
      <c r="M798">
        <v>59987</v>
      </c>
      <c r="N798">
        <v>48959</v>
      </c>
      <c r="O798" s="6">
        <f>Table1[[#This Row],[Profit]]/Table1[[#This Row],[Sales_Amount]]</f>
        <v>0.44938777008793346</v>
      </c>
      <c r="P798" t="s">
        <v>52</v>
      </c>
    </row>
    <row r="799" spans="1:16" x14ac:dyDescent="0.35">
      <c r="A799" t="s">
        <v>1961</v>
      </c>
      <c r="B799" t="s">
        <v>485</v>
      </c>
      <c r="C799" t="str">
        <f>TEXT(Table1[[#This Row],[Order_Date]],"mmm")</f>
        <v>May</v>
      </c>
      <c r="D799">
        <f>YEAR(Table1[[#This Row],[Order_Date]])</f>
        <v>2025</v>
      </c>
      <c r="E799" t="s">
        <v>46</v>
      </c>
      <c r="F799" t="s">
        <v>74</v>
      </c>
      <c r="G799" t="s">
        <v>48</v>
      </c>
      <c r="H799" t="s">
        <v>1962</v>
      </c>
      <c r="I799" t="s">
        <v>143</v>
      </c>
      <c r="J799" t="s">
        <v>51</v>
      </c>
      <c r="K799">
        <v>8</v>
      </c>
      <c r="L799">
        <v>97007</v>
      </c>
      <c r="M799">
        <v>79334</v>
      </c>
      <c r="N799">
        <v>17673</v>
      </c>
      <c r="O799" s="6">
        <f>Table1[[#This Row],[Profit]]/Table1[[#This Row],[Sales_Amount]]</f>
        <v>0.18218272908140651</v>
      </c>
      <c r="P799" t="s">
        <v>52</v>
      </c>
    </row>
    <row r="800" spans="1:16" x14ac:dyDescent="0.35">
      <c r="A800" t="s">
        <v>1963</v>
      </c>
      <c r="B800" t="s">
        <v>302</v>
      </c>
      <c r="C800" t="str">
        <f>TEXT(Table1[[#This Row],[Order_Date]],"mmm")</f>
        <v>Dec</v>
      </c>
      <c r="D800">
        <f>YEAR(Table1[[#This Row],[Order_Date]])</f>
        <v>2025</v>
      </c>
      <c r="E800" t="s">
        <v>46</v>
      </c>
      <c r="F800" t="s">
        <v>74</v>
      </c>
      <c r="G800" t="s">
        <v>65</v>
      </c>
      <c r="H800" t="s">
        <v>1745</v>
      </c>
      <c r="I800" t="s">
        <v>50</v>
      </c>
      <c r="J800" t="s">
        <v>51</v>
      </c>
      <c r="K800">
        <v>1</v>
      </c>
      <c r="L800">
        <v>112272</v>
      </c>
      <c r="M800">
        <v>50720</v>
      </c>
      <c r="N800">
        <v>61552</v>
      </c>
      <c r="O800" s="6">
        <f>Table1[[#This Row],[Profit]]/Table1[[#This Row],[Sales_Amount]]</f>
        <v>0.54823998859911638</v>
      </c>
      <c r="P800" t="s">
        <v>121</v>
      </c>
    </row>
    <row r="801" spans="1:16" x14ac:dyDescent="0.35">
      <c r="A801" t="s">
        <v>1964</v>
      </c>
      <c r="B801" t="s">
        <v>165</v>
      </c>
      <c r="C801" t="str">
        <f>TEXT(Table1[[#This Row],[Order_Date]],"mmm")</f>
        <v>Mar</v>
      </c>
      <c r="D801">
        <f>YEAR(Table1[[#This Row],[Order_Date]])</f>
        <v>2025</v>
      </c>
      <c r="E801" t="s">
        <v>111</v>
      </c>
      <c r="F801" t="s">
        <v>169</v>
      </c>
      <c r="G801" t="s">
        <v>48</v>
      </c>
      <c r="H801" t="s">
        <v>1965</v>
      </c>
      <c r="I801" t="s">
        <v>76</v>
      </c>
      <c r="J801" t="s">
        <v>77</v>
      </c>
      <c r="K801">
        <v>11</v>
      </c>
      <c r="L801">
        <v>85731</v>
      </c>
      <c r="M801">
        <v>57891</v>
      </c>
      <c r="N801">
        <v>27840</v>
      </c>
      <c r="O801" s="6">
        <f>Table1[[#This Row],[Profit]]/Table1[[#This Row],[Sales_Amount]]</f>
        <v>0.3247366763481121</v>
      </c>
      <c r="P801" t="s">
        <v>98</v>
      </c>
    </row>
    <row r="802" spans="1:16" x14ac:dyDescent="0.35">
      <c r="A802" t="s">
        <v>1966</v>
      </c>
      <c r="B802" t="s">
        <v>1517</v>
      </c>
      <c r="C802" t="str">
        <f>TEXT(Table1[[#This Row],[Order_Date]],"mmm")</f>
        <v>Jan</v>
      </c>
      <c r="D802">
        <f>YEAR(Table1[[#This Row],[Order_Date]])</f>
        <v>2025</v>
      </c>
      <c r="E802" t="s">
        <v>55</v>
      </c>
      <c r="F802" t="s">
        <v>56</v>
      </c>
      <c r="G802" t="s">
        <v>65</v>
      </c>
      <c r="H802" t="s">
        <v>1967</v>
      </c>
      <c r="I802" t="s">
        <v>156</v>
      </c>
      <c r="J802" t="s">
        <v>157</v>
      </c>
      <c r="K802">
        <v>11</v>
      </c>
      <c r="L802">
        <v>6511</v>
      </c>
      <c r="M802">
        <v>3168</v>
      </c>
      <c r="N802">
        <v>3343</v>
      </c>
      <c r="O802" s="6">
        <f>Table1[[#This Row],[Profit]]/Table1[[#This Row],[Sales_Amount]]</f>
        <v>0.51343879588388885</v>
      </c>
      <c r="P802" t="s">
        <v>60</v>
      </c>
    </row>
    <row r="803" spans="1:16" x14ac:dyDescent="0.35">
      <c r="A803" t="s">
        <v>1968</v>
      </c>
      <c r="B803" t="s">
        <v>907</v>
      </c>
      <c r="C803" t="str">
        <f>TEXT(Table1[[#This Row],[Order_Date]],"mmm")</f>
        <v>May</v>
      </c>
      <c r="D803">
        <f>YEAR(Table1[[#This Row],[Order_Date]])</f>
        <v>2025</v>
      </c>
      <c r="E803" t="s">
        <v>55</v>
      </c>
      <c r="F803" t="s">
        <v>188</v>
      </c>
      <c r="G803" t="s">
        <v>48</v>
      </c>
      <c r="H803" t="s">
        <v>1893</v>
      </c>
      <c r="I803" t="s">
        <v>143</v>
      </c>
      <c r="J803" t="s">
        <v>51</v>
      </c>
      <c r="K803">
        <v>21</v>
      </c>
      <c r="L803">
        <v>59788</v>
      </c>
      <c r="M803">
        <v>50310</v>
      </c>
      <c r="N803">
        <v>9478</v>
      </c>
      <c r="O803" s="6">
        <f>Table1[[#This Row],[Profit]]/Table1[[#This Row],[Sales_Amount]]</f>
        <v>0.15852679467451664</v>
      </c>
      <c r="P803" t="s">
        <v>121</v>
      </c>
    </row>
    <row r="804" spans="1:16" x14ac:dyDescent="0.35">
      <c r="A804" t="s">
        <v>1969</v>
      </c>
      <c r="B804" t="s">
        <v>523</v>
      </c>
      <c r="C804" t="str">
        <f>TEXT(Table1[[#This Row],[Order_Date]],"mmm")</f>
        <v>Mar</v>
      </c>
      <c r="D804">
        <f>YEAR(Table1[[#This Row],[Order_Date]])</f>
        <v>2025</v>
      </c>
      <c r="E804" t="s">
        <v>55</v>
      </c>
      <c r="F804" t="s">
        <v>56</v>
      </c>
      <c r="G804" t="s">
        <v>80</v>
      </c>
      <c r="H804" t="s">
        <v>1970</v>
      </c>
      <c r="I804" t="s">
        <v>143</v>
      </c>
      <c r="J804" t="s">
        <v>51</v>
      </c>
      <c r="K804">
        <v>22</v>
      </c>
      <c r="L804">
        <v>94727</v>
      </c>
      <c r="M804">
        <v>53566</v>
      </c>
      <c r="N804">
        <v>41161</v>
      </c>
      <c r="O804" s="6">
        <f>Table1[[#This Row],[Profit]]/Table1[[#This Row],[Sales_Amount]]</f>
        <v>0.43452236426784341</v>
      </c>
      <c r="P804" t="s">
        <v>52</v>
      </c>
    </row>
    <row r="805" spans="1:16" x14ac:dyDescent="0.35">
      <c r="A805" t="s">
        <v>1971</v>
      </c>
      <c r="B805" t="s">
        <v>1972</v>
      </c>
      <c r="C805" t="str">
        <f>TEXT(Table1[[#This Row],[Order_Date]],"mmm")</f>
        <v>Oct</v>
      </c>
      <c r="D805">
        <f>YEAR(Table1[[#This Row],[Order_Date]])</f>
        <v>2025</v>
      </c>
      <c r="E805" t="s">
        <v>55</v>
      </c>
      <c r="F805" t="s">
        <v>188</v>
      </c>
      <c r="G805" t="s">
        <v>80</v>
      </c>
      <c r="H805" t="s">
        <v>1973</v>
      </c>
      <c r="I805" t="s">
        <v>67</v>
      </c>
      <c r="J805" t="s">
        <v>51</v>
      </c>
      <c r="K805">
        <v>25</v>
      </c>
      <c r="L805">
        <v>99480</v>
      </c>
      <c r="M805">
        <v>64531</v>
      </c>
      <c r="N805">
        <v>34949</v>
      </c>
      <c r="O805" s="6">
        <f>Table1[[#This Row],[Profit]]/Table1[[#This Row],[Sales_Amount]]</f>
        <v>0.35131684760755932</v>
      </c>
      <c r="P805" t="s">
        <v>60</v>
      </c>
    </row>
    <row r="806" spans="1:16" x14ac:dyDescent="0.35">
      <c r="A806" t="s">
        <v>1974</v>
      </c>
      <c r="B806" t="s">
        <v>62</v>
      </c>
      <c r="C806" t="str">
        <f>TEXT(Table1[[#This Row],[Order_Date]],"mmm")</f>
        <v>Mar</v>
      </c>
      <c r="D806">
        <f>YEAR(Table1[[#This Row],[Order_Date]])</f>
        <v>2025</v>
      </c>
      <c r="E806" t="s">
        <v>46</v>
      </c>
      <c r="F806" t="s">
        <v>47</v>
      </c>
      <c r="G806" t="s">
        <v>48</v>
      </c>
      <c r="H806" t="s">
        <v>1975</v>
      </c>
      <c r="I806" t="s">
        <v>125</v>
      </c>
      <c r="J806" t="s">
        <v>83</v>
      </c>
      <c r="K806">
        <v>12</v>
      </c>
      <c r="L806">
        <v>86934</v>
      </c>
      <c r="M806">
        <v>48956</v>
      </c>
      <c r="N806">
        <v>37978</v>
      </c>
      <c r="O806" s="6">
        <f>Table1[[#This Row],[Profit]]/Table1[[#This Row],[Sales_Amount]]</f>
        <v>0.43686014677801549</v>
      </c>
      <c r="P806" t="s">
        <v>60</v>
      </c>
    </row>
    <row r="807" spans="1:16" x14ac:dyDescent="0.35">
      <c r="A807" t="s">
        <v>1976</v>
      </c>
      <c r="B807" t="s">
        <v>197</v>
      </c>
      <c r="C807" t="str">
        <f>TEXT(Table1[[#This Row],[Order_Date]],"mmm")</f>
        <v>Sep</v>
      </c>
      <c r="D807">
        <f>YEAR(Table1[[#This Row],[Order_Date]])</f>
        <v>2025</v>
      </c>
      <c r="E807" t="s">
        <v>46</v>
      </c>
      <c r="F807" t="s">
        <v>74</v>
      </c>
      <c r="G807" t="s">
        <v>48</v>
      </c>
      <c r="H807" t="s">
        <v>1977</v>
      </c>
      <c r="I807" t="s">
        <v>76</v>
      </c>
      <c r="J807" t="s">
        <v>77</v>
      </c>
      <c r="K807">
        <v>20</v>
      </c>
      <c r="L807">
        <v>23516</v>
      </c>
      <c r="M807">
        <v>18835</v>
      </c>
      <c r="N807">
        <v>4681</v>
      </c>
      <c r="O807" s="6">
        <f>Table1[[#This Row],[Profit]]/Table1[[#This Row],[Sales_Amount]]</f>
        <v>0.19905596189828201</v>
      </c>
      <c r="P807" t="s">
        <v>52</v>
      </c>
    </row>
    <row r="808" spans="1:16" x14ac:dyDescent="0.35">
      <c r="A808" t="s">
        <v>1978</v>
      </c>
      <c r="B808" t="s">
        <v>849</v>
      </c>
      <c r="C808" t="str">
        <f>TEXT(Table1[[#This Row],[Order_Date]],"mmm")</f>
        <v>Apr</v>
      </c>
      <c r="D808">
        <f>YEAR(Table1[[#This Row],[Order_Date]])</f>
        <v>2025</v>
      </c>
      <c r="E808" t="s">
        <v>111</v>
      </c>
      <c r="F808" t="s">
        <v>112</v>
      </c>
      <c r="G808" t="s">
        <v>48</v>
      </c>
      <c r="H808" t="s">
        <v>1979</v>
      </c>
      <c r="I808" t="s">
        <v>67</v>
      </c>
      <c r="J808" t="s">
        <v>51</v>
      </c>
      <c r="K808">
        <v>11</v>
      </c>
      <c r="L808">
        <v>94566</v>
      </c>
      <c r="M808">
        <v>65290</v>
      </c>
      <c r="N808">
        <v>29276</v>
      </c>
      <c r="O808" s="6">
        <f>Table1[[#This Row],[Profit]]/Table1[[#This Row],[Sales_Amount]]</f>
        <v>0.30958272529238839</v>
      </c>
      <c r="P808" t="s">
        <v>60</v>
      </c>
    </row>
    <row r="809" spans="1:16" x14ac:dyDescent="0.35">
      <c r="A809" t="s">
        <v>1980</v>
      </c>
      <c r="B809" t="s">
        <v>302</v>
      </c>
      <c r="C809" t="str">
        <f>TEXT(Table1[[#This Row],[Order_Date]],"mmm")</f>
        <v>Dec</v>
      </c>
      <c r="D809">
        <f>YEAR(Table1[[#This Row],[Order_Date]])</f>
        <v>2025</v>
      </c>
      <c r="E809" t="s">
        <v>55</v>
      </c>
      <c r="F809" t="s">
        <v>56</v>
      </c>
      <c r="G809" t="s">
        <v>138</v>
      </c>
      <c r="H809" t="s">
        <v>1981</v>
      </c>
      <c r="I809" t="s">
        <v>76</v>
      </c>
      <c r="J809" t="s">
        <v>77</v>
      </c>
      <c r="K809">
        <v>15</v>
      </c>
      <c r="L809">
        <v>58738</v>
      </c>
      <c r="M809">
        <v>32947</v>
      </c>
      <c r="N809">
        <v>25791</v>
      </c>
      <c r="O809" s="6">
        <f>Table1[[#This Row],[Profit]]/Table1[[#This Row],[Sales_Amount]]</f>
        <v>0.43908543021553337</v>
      </c>
      <c r="P809" t="s">
        <v>60</v>
      </c>
    </row>
    <row r="810" spans="1:16" x14ac:dyDescent="0.35">
      <c r="A810" t="s">
        <v>1982</v>
      </c>
      <c r="B810" t="s">
        <v>376</v>
      </c>
      <c r="C810" t="str">
        <f>TEXT(Table1[[#This Row],[Order_Date]],"mmm")</f>
        <v>Dec</v>
      </c>
      <c r="D810">
        <f>YEAR(Table1[[#This Row],[Order_Date]])</f>
        <v>2025</v>
      </c>
      <c r="E810" t="s">
        <v>63</v>
      </c>
      <c r="F810" t="s">
        <v>64</v>
      </c>
      <c r="G810" t="s">
        <v>65</v>
      </c>
      <c r="H810" t="s">
        <v>1983</v>
      </c>
      <c r="I810" t="s">
        <v>125</v>
      </c>
      <c r="J810" t="s">
        <v>83</v>
      </c>
      <c r="K810">
        <v>5</v>
      </c>
      <c r="L810">
        <v>54884</v>
      </c>
      <c r="M810">
        <v>35916</v>
      </c>
      <c r="N810">
        <v>18968</v>
      </c>
      <c r="O810" s="6">
        <f>Table1[[#This Row],[Profit]]/Table1[[#This Row],[Sales_Amount]]</f>
        <v>0.34560163253407183</v>
      </c>
      <c r="P810" t="s">
        <v>121</v>
      </c>
    </row>
    <row r="811" spans="1:16" x14ac:dyDescent="0.35">
      <c r="A811" t="s">
        <v>1984</v>
      </c>
      <c r="B811" t="s">
        <v>1985</v>
      </c>
      <c r="C811" t="str">
        <f>TEXT(Table1[[#This Row],[Order_Date]],"mmm")</f>
        <v>May</v>
      </c>
      <c r="D811">
        <f>YEAR(Table1[[#This Row],[Order_Date]])</f>
        <v>2025</v>
      </c>
      <c r="E811" t="s">
        <v>63</v>
      </c>
      <c r="F811" t="s">
        <v>104</v>
      </c>
      <c r="G811" t="s">
        <v>116</v>
      </c>
      <c r="H811" t="s">
        <v>1986</v>
      </c>
      <c r="I811" t="s">
        <v>50</v>
      </c>
      <c r="J811" t="s">
        <v>51</v>
      </c>
      <c r="K811">
        <v>21</v>
      </c>
      <c r="L811">
        <v>49439</v>
      </c>
      <c r="M811">
        <v>34653</v>
      </c>
      <c r="N811">
        <v>14786</v>
      </c>
      <c r="O811" s="6">
        <f>Table1[[#This Row],[Profit]]/Table1[[#This Row],[Sales_Amount]]</f>
        <v>0.29907562855235748</v>
      </c>
      <c r="P811" t="s">
        <v>121</v>
      </c>
    </row>
    <row r="812" spans="1:16" x14ac:dyDescent="0.35">
      <c r="A812" t="s">
        <v>1987</v>
      </c>
      <c r="B812" t="s">
        <v>1425</v>
      </c>
      <c r="C812" t="str">
        <f>TEXT(Table1[[#This Row],[Order_Date]],"mmm")</f>
        <v>Jan</v>
      </c>
      <c r="D812">
        <f>YEAR(Table1[[#This Row],[Order_Date]])</f>
        <v>2025</v>
      </c>
      <c r="E812" t="s">
        <v>63</v>
      </c>
      <c r="F812" t="s">
        <v>104</v>
      </c>
      <c r="G812" t="s">
        <v>116</v>
      </c>
      <c r="H812" t="s">
        <v>1988</v>
      </c>
      <c r="I812" t="s">
        <v>50</v>
      </c>
      <c r="J812" t="s">
        <v>51</v>
      </c>
      <c r="K812">
        <v>17</v>
      </c>
      <c r="L812">
        <v>70650</v>
      </c>
      <c r="M812">
        <v>45174</v>
      </c>
      <c r="N812">
        <v>25476</v>
      </c>
      <c r="O812" s="6">
        <f>Table1[[#This Row],[Profit]]/Table1[[#This Row],[Sales_Amount]]</f>
        <v>0.36059447983014864</v>
      </c>
      <c r="P812" t="s">
        <v>98</v>
      </c>
    </row>
    <row r="813" spans="1:16" x14ac:dyDescent="0.35">
      <c r="A813" t="s">
        <v>1989</v>
      </c>
      <c r="B813" t="s">
        <v>681</v>
      </c>
      <c r="C813" t="str">
        <f>TEXT(Table1[[#This Row],[Order_Date]],"mmm")</f>
        <v>May</v>
      </c>
      <c r="D813">
        <f>YEAR(Table1[[#This Row],[Order_Date]])</f>
        <v>2025</v>
      </c>
      <c r="E813" t="s">
        <v>55</v>
      </c>
      <c r="F813" t="s">
        <v>56</v>
      </c>
      <c r="G813" t="s">
        <v>116</v>
      </c>
      <c r="H813" t="s">
        <v>1990</v>
      </c>
      <c r="I813" t="s">
        <v>143</v>
      </c>
      <c r="J813" t="s">
        <v>51</v>
      </c>
      <c r="K813">
        <v>25</v>
      </c>
      <c r="L813">
        <v>76186</v>
      </c>
      <c r="M813">
        <v>42849</v>
      </c>
      <c r="N813">
        <v>33337</v>
      </c>
      <c r="O813" s="6">
        <f>Table1[[#This Row],[Profit]]/Table1[[#This Row],[Sales_Amount]]</f>
        <v>0.43757383246265719</v>
      </c>
      <c r="P813" t="s">
        <v>121</v>
      </c>
    </row>
    <row r="814" spans="1:16" x14ac:dyDescent="0.35">
      <c r="A814" t="s">
        <v>1991</v>
      </c>
      <c r="B814" t="s">
        <v>79</v>
      </c>
      <c r="C814" t="str">
        <f>TEXT(Table1[[#This Row],[Order_Date]],"mmm")</f>
        <v>May</v>
      </c>
      <c r="D814">
        <f>YEAR(Table1[[#This Row],[Order_Date]])</f>
        <v>2025</v>
      </c>
      <c r="E814" t="s">
        <v>55</v>
      </c>
      <c r="F814" t="s">
        <v>56</v>
      </c>
      <c r="G814" t="s">
        <v>128</v>
      </c>
      <c r="H814" t="s">
        <v>1553</v>
      </c>
      <c r="I814" t="s">
        <v>156</v>
      </c>
      <c r="J814" t="s">
        <v>157</v>
      </c>
      <c r="K814">
        <v>17</v>
      </c>
      <c r="L814">
        <v>75721</v>
      </c>
      <c r="M814">
        <v>37535</v>
      </c>
      <c r="N814">
        <v>38186</v>
      </c>
      <c r="O814" s="6">
        <f>Table1[[#This Row],[Profit]]/Table1[[#This Row],[Sales_Amount]]</f>
        <v>0.50429867540048334</v>
      </c>
      <c r="P814" t="s">
        <v>52</v>
      </c>
    </row>
    <row r="815" spans="1:16" x14ac:dyDescent="0.35">
      <c r="A815" t="s">
        <v>1992</v>
      </c>
      <c r="B815" t="s">
        <v>1985</v>
      </c>
      <c r="C815" t="str">
        <f>TEXT(Table1[[#This Row],[Order_Date]],"mmm")</f>
        <v>May</v>
      </c>
      <c r="D815">
        <f>YEAR(Table1[[#This Row],[Order_Date]])</f>
        <v>2025</v>
      </c>
      <c r="E815" t="s">
        <v>55</v>
      </c>
      <c r="F815" t="s">
        <v>188</v>
      </c>
      <c r="G815" t="s">
        <v>128</v>
      </c>
      <c r="H815" t="s">
        <v>1993</v>
      </c>
      <c r="I815" t="s">
        <v>87</v>
      </c>
      <c r="J815" t="s">
        <v>88</v>
      </c>
      <c r="K815">
        <v>7</v>
      </c>
      <c r="L815">
        <v>92319</v>
      </c>
      <c r="M815">
        <v>73357</v>
      </c>
      <c r="N815">
        <v>18962</v>
      </c>
      <c r="O815" s="6">
        <f>Table1[[#This Row],[Profit]]/Table1[[#This Row],[Sales_Amount]]</f>
        <v>0.2053965055947313</v>
      </c>
      <c r="P815" t="s">
        <v>98</v>
      </c>
    </row>
    <row r="816" spans="1:16" x14ac:dyDescent="0.35">
      <c r="A816" t="s">
        <v>1994</v>
      </c>
      <c r="B816" t="s">
        <v>1995</v>
      </c>
      <c r="C816" t="str">
        <f>TEXT(Table1[[#This Row],[Order_Date]],"mmm")</f>
        <v>Jan</v>
      </c>
      <c r="D816">
        <f>YEAR(Table1[[#This Row],[Order_Date]])</f>
        <v>2025</v>
      </c>
      <c r="E816" t="s">
        <v>63</v>
      </c>
      <c r="F816" t="s">
        <v>104</v>
      </c>
      <c r="G816" t="s">
        <v>65</v>
      </c>
      <c r="H816" t="s">
        <v>1996</v>
      </c>
      <c r="I816" t="s">
        <v>82</v>
      </c>
      <c r="J816" t="s">
        <v>83</v>
      </c>
      <c r="K816">
        <v>25</v>
      </c>
      <c r="L816">
        <v>67933</v>
      </c>
      <c r="M816">
        <v>38894</v>
      </c>
      <c r="N816">
        <v>29039</v>
      </c>
      <c r="O816" s="6">
        <f>Table1[[#This Row],[Profit]]/Table1[[#This Row],[Sales_Amount]]</f>
        <v>0.42746529668938515</v>
      </c>
      <c r="P816" t="s">
        <v>98</v>
      </c>
    </row>
    <row r="817" spans="1:16" x14ac:dyDescent="0.35">
      <c r="A817" t="s">
        <v>1997</v>
      </c>
      <c r="B817" t="s">
        <v>1378</v>
      </c>
      <c r="C817" t="str">
        <f>TEXT(Table1[[#This Row],[Order_Date]],"mmm")</f>
        <v>Dec</v>
      </c>
      <c r="D817">
        <f>YEAR(Table1[[#This Row],[Order_Date]])</f>
        <v>2025</v>
      </c>
      <c r="E817" t="s">
        <v>63</v>
      </c>
      <c r="F817" t="s">
        <v>104</v>
      </c>
      <c r="G817" t="s">
        <v>138</v>
      </c>
      <c r="H817" t="s">
        <v>1998</v>
      </c>
      <c r="I817" t="s">
        <v>82</v>
      </c>
      <c r="J817" t="s">
        <v>83</v>
      </c>
      <c r="K817">
        <v>4</v>
      </c>
      <c r="L817">
        <v>86463</v>
      </c>
      <c r="M817">
        <v>48108</v>
      </c>
      <c r="N817">
        <v>38355</v>
      </c>
      <c r="O817" s="6">
        <f>Table1[[#This Row],[Profit]]/Table1[[#This Row],[Sales_Amount]]</f>
        <v>0.44360015266645847</v>
      </c>
      <c r="P817" t="s">
        <v>60</v>
      </c>
    </row>
    <row r="818" spans="1:16" x14ac:dyDescent="0.35">
      <c r="A818" t="s">
        <v>1999</v>
      </c>
      <c r="B818" t="s">
        <v>382</v>
      </c>
      <c r="C818" t="str">
        <f>TEXT(Table1[[#This Row],[Order_Date]],"mmm")</f>
        <v>Jul</v>
      </c>
      <c r="D818">
        <f>YEAR(Table1[[#This Row],[Order_Date]])</f>
        <v>2025</v>
      </c>
      <c r="E818" t="s">
        <v>55</v>
      </c>
      <c r="F818" t="s">
        <v>188</v>
      </c>
      <c r="G818" t="s">
        <v>65</v>
      </c>
      <c r="H818" t="s">
        <v>2000</v>
      </c>
      <c r="I818" t="s">
        <v>67</v>
      </c>
      <c r="J818" t="s">
        <v>51</v>
      </c>
      <c r="K818">
        <v>10</v>
      </c>
      <c r="L818">
        <v>48331</v>
      </c>
      <c r="M818">
        <v>23958</v>
      </c>
      <c r="N818">
        <v>24373</v>
      </c>
      <c r="O818" s="6">
        <f>Table1[[#This Row],[Profit]]/Table1[[#This Row],[Sales_Amount]]</f>
        <v>0.50429331071155159</v>
      </c>
      <c r="P818" t="s">
        <v>52</v>
      </c>
    </row>
    <row r="819" spans="1:16" x14ac:dyDescent="0.35">
      <c r="A819" t="s">
        <v>2001</v>
      </c>
      <c r="B819" t="s">
        <v>565</v>
      </c>
      <c r="C819" t="str">
        <f>TEXT(Table1[[#This Row],[Order_Date]],"mmm")</f>
        <v>Dec</v>
      </c>
      <c r="D819">
        <f>YEAR(Table1[[#This Row],[Order_Date]])</f>
        <v>2025</v>
      </c>
      <c r="E819" t="s">
        <v>63</v>
      </c>
      <c r="F819" t="s">
        <v>104</v>
      </c>
      <c r="G819" t="s">
        <v>70</v>
      </c>
      <c r="H819" t="s">
        <v>493</v>
      </c>
      <c r="I819" t="s">
        <v>59</v>
      </c>
      <c r="J819" t="s">
        <v>51</v>
      </c>
      <c r="K819">
        <v>7</v>
      </c>
      <c r="L819">
        <v>102266</v>
      </c>
      <c r="M819">
        <v>49538</v>
      </c>
      <c r="N819">
        <v>52728</v>
      </c>
      <c r="O819" s="6">
        <f>Table1[[#This Row],[Profit]]/Table1[[#This Row],[Sales_Amount]]</f>
        <v>0.51559658146402521</v>
      </c>
      <c r="P819" t="s">
        <v>52</v>
      </c>
    </row>
    <row r="820" spans="1:16" x14ac:dyDescent="0.35">
      <c r="A820" t="s">
        <v>2002</v>
      </c>
      <c r="B820" t="s">
        <v>840</v>
      </c>
      <c r="C820" t="str">
        <f>TEXT(Table1[[#This Row],[Order_Date]],"mmm")</f>
        <v>Jun</v>
      </c>
      <c r="D820">
        <f>YEAR(Table1[[#This Row],[Order_Date]])</f>
        <v>2025</v>
      </c>
      <c r="E820" t="s">
        <v>46</v>
      </c>
      <c r="F820" t="s">
        <v>74</v>
      </c>
      <c r="G820" t="s">
        <v>128</v>
      </c>
      <c r="H820" t="s">
        <v>2003</v>
      </c>
      <c r="I820" t="s">
        <v>87</v>
      </c>
      <c r="J820" t="s">
        <v>88</v>
      </c>
      <c r="K820">
        <v>19</v>
      </c>
      <c r="L820">
        <v>13145</v>
      </c>
      <c r="M820">
        <v>10901</v>
      </c>
      <c r="N820">
        <v>2244</v>
      </c>
      <c r="O820" s="6">
        <f>Table1[[#This Row],[Profit]]/Table1[[#This Row],[Sales_Amount]]</f>
        <v>0.1707112970711297</v>
      </c>
      <c r="P820" t="s">
        <v>121</v>
      </c>
    </row>
    <row r="821" spans="1:16" x14ac:dyDescent="0.35">
      <c r="A821" t="s">
        <v>2004</v>
      </c>
      <c r="B821" t="s">
        <v>235</v>
      </c>
      <c r="C821" t="str">
        <f>TEXT(Table1[[#This Row],[Order_Date]],"mmm")</f>
        <v>Mar</v>
      </c>
      <c r="D821">
        <f>YEAR(Table1[[#This Row],[Order_Date]])</f>
        <v>2025</v>
      </c>
      <c r="E821" t="s">
        <v>55</v>
      </c>
      <c r="F821" t="s">
        <v>56</v>
      </c>
      <c r="G821" t="s">
        <v>80</v>
      </c>
      <c r="H821" t="s">
        <v>2005</v>
      </c>
      <c r="I821" t="s">
        <v>59</v>
      </c>
      <c r="J821" t="s">
        <v>51</v>
      </c>
      <c r="K821">
        <v>24</v>
      </c>
      <c r="L821">
        <v>13849</v>
      </c>
      <c r="M821">
        <v>8853</v>
      </c>
      <c r="N821">
        <v>4996</v>
      </c>
      <c r="O821" s="6">
        <f>Table1[[#This Row],[Profit]]/Table1[[#This Row],[Sales_Amount]]</f>
        <v>0.36074806845259588</v>
      </c>
      <c r="P821" t="s">
        <v>60</v>
      </c>
    </row>
    <row r="822" spans="1:16" x14ac:dyDescent="0.35">
      <c r="A822" t="s">
        <v>2006</v>
      </c>
      <c r="B822" t="s">
        <v>863</v>
      </c>
      <c r="C822" t="str">
        <f>TEXT(Table1[[#This Row],[Order_Date]],"mmm")</f>
        <v>Aug</v>
      </c>
      <c r="D822">
        <f>YEAR(Table1[[#This Row],[Order_Date]])</f>
        <v>2025</v>
      </c>
      <c r="E822" t="s">
        <v>111</v>
      </c>
      <c r="F822" t="s">
        <v>169</v>
      </c>
      <c r="G822" t="s">
        <v>57</v>
      </c>
      <c r="H822" t="s">
        <v>2007</v>
      </c>
      <c r="I822" t="s">
        <v>125</v>
      </c>
      <c r="J822" t="s">
        <v>83</v>
      </c>
      <c r="K822">
        <v>9</v>
      </c>
      <c r="L822">
        <v>79553</v>
      </c>
      <c r="M822">
        <v>44449</v>
      </c>
      <c r="N822">
        <v>35104</v>
      </c>
      <c r="O822" s="6">
        <f>Table1[[#This Row],[Profit]]/Table1[[#This Row],[Sales_Amount]]</f>
        <v>0.44126557138008621</v>
      </c>
      <c r="P822" t="s">
        <v>52</v>
      </c>
    </row>
    <row r="823" spans="1:16" x14ac:dyDescent="0.35">
      <c r="A823" t="s">
        <v>2008</v>
      </c>
      <c r="B823" t="s">
        <v>217</v>
      </c>
      <c r="C823" t="str">
        <f>TEXT(Table1[[#This Row],[Order_Date]],"mmm")</f>
        <v>Aug</v>
      </c>
      <c r="D823">
        <f>YEAR(Table1[[#This Row],[Order_Date]])</f>
        <v>2025</v>
      </c>
      <c r="E823" t="s">
        <v>55</v>
      </c>
      <c r="F823" t="s">
        <v>188</v>
      </c>
      <c r="G823" t="s">
        <v>48</v>
      </c>
      <c r="H823" t="s">
        <v>2009</v>
      </c>
      <c r="I823" t="s">
        <v>59</v>
      </c>
      <c r="J823" t="s">
        <v>51</v>
      </c>
      <c r="K823">
        <v>4</v>
      </c>
      <c r="L823">
        <v>51889</v>
      </c>
      <c r="M823">
        <v>32717</v>
      </c>
      <c r="N823">
        <v>19172</v>
      </c>
      <c r="O823" s="6">
        <f>Table1[[#This Row],[Profit]]/Table1[[#This Row],[Sales_Amount]]</f>
        <v>0.36948100753531576</v>
      </c>
      <c r="P823" t="s">
        <v>121</v>
      </c>
    </row>
    <row r="824" spans="1:16" x14ac:dyDescent="0.35">
      <c r="A824" t="s">
        <v>2010</v>
      </c>
      <c r="B824" t="s">
        <v>719</v>
      </c>
      <c r="C824" t="str">
        <f>TEXT(Table1[[#This Row],[Order_Date]],"mmm")</f>
        <v>Nov</v>
      </c>
      <c r="D824">
        <f>YEAR(Table1[[#This Row],[Order_Date]])</f>
        <v>2025</v>
      </c>
      <c r="E824" t="s">
        <v>63</v>
      </c>
      <c r="F824" t="s">
        <v>64</v>
      </c>
      <c r="G824" t="s">
        <v>116</v>
      </c>
      <c r="H824" t="s">
        <v>2011</v>
      </c>
      <c r="I824" t="s">
        <v>59</v>
      </c>
      <c r="J824" t="s">
        <v>51</v>
      </c>
      <c r="K824">
        <v>12</v>
      </c>
      <c r="L824">
        <v>54254</v>
      </c>
      <c r="M824">
        <v>43802</v>
      </c>
      <c r="N824">
        <v>10452</v>
      </c>
      <c r="O824" s="6">
        <f>Table1[[#This Row],[Profit]]/Table1[[#This Row],[Sales_Amount]]</f>
        <v>0.192649389906735</v>
      </c>
      <c r="P824" t="s">
        <v>60</v>
      </c>
    </row>
    <row r="825" spans="1:16" x14ac:dyDescent="0.35">
      <c r="A825" t="s">
        <v>2012</v>
      </c>
      <c r="B825" t="s">
        <v>2013</v>
      </c>
      <c r="C825" t="str">
        <f>TEXT(Table1[[#This Row],[Order_Date]],"mmm")</f>
        <v>Dec</v>
      </c>
      <c r="D825">
        <f>YEAR(Table1[[#This Row],[Order_Date]])</f>
        <v>2025</v>
      </c>
      <c r="E825" t="s">
        <v>55</v>
      </c>
      <c r="F825" t="s">
        <v>188</v>
      </c>
      <c r="G825" t="s">
        <v>80</v>
      </c>
      <c r="H825" t="s">
        <v>2014</v>
      </c>
      <c r="I825" t="s">
        <v>125</v>
      </c>
      <c r="J825" t="s">
        <v>83</v>
      </c>
      <c r="K825">
        <v>7</v>
      </c>
      <c r="L825">
        <v>54930</v>
      </c>
      <c r="M825">
        <v>30118</v>
      </c>
      <c r="N825">
        <v>24812</v>
      </c>
      <c r="O825" s="6">
        <f>Table1[[#This Row],[Profit]]/Table1[[#This Row],[Sales_Amount]]</f>
        <v>0.45170216639359184</v>
      </c>
      <c r="P825" t="s">
        <v>98</v>
      </c>
    </row>
    <row r="826" spans="1:16" x14ac:dyDescent="0.35">
      <c r="A826" t="s">
        <v>2015</v>
      </c>
      <c r="B826" t="s">
        <v>326</v>
      </c>
      <c r="C826" t="str">
        <f>TEXT(Table1[[#This Row],[Order_Date]],"mmm")</f>
        <v>Sep</v>
      </c>
      <c r="D826">
        <f>YEAR(Table1[[#This Row],[Order_Date]])</f>
        <v>2025</v>
      </c>
      <c r="E826" t="s">
        <v>63</v>
      </c>
      <c r="F826" t="s">
        <v>104</v>
      </c>
      <c r="G826" t="s">
        <v>57</v>
      </c>
      <c r="H826" t="s">
        <v>2016</v>
      </c>
      <c r="I826" t="s">
        <v>87</v>
      </c>
      <c r="J826" t="s">
        <v>88</v>
      </c>
      <c r="K826">
        <v>25</v>
      </c>
      <c r="L826">
        <v>4432</v>
      </c>
      <c r="M826">
        <v>3288</v>
      </c>
      <c r="N826">
        <v>1144</v>
      </c>
      <c r="O826" s="6">
        <f>Table1[[#This Row],[Profit]]/Table1[[#This Row],[Sales_Amount]]</f>
        <v>0.25812274368231047</v>
      </c>
      <c r="P826" t="s">
        <v>60</v>
      </c>
    </row>
    <row r="827" spans="1:16" x14ac:dyDescent="0.35">
      <c r="A827" t="s">
        <v>2017</v>
      </c>
      <c r="B827" t="s">
        <v>1288</v>
      </c>
      <c r="C827" t="str">
        <f>TEXT(Table1[[#This Row],[Order_Date]],"mmm")</f>
        <v>Oct</v>
      </c>
      <c r="D827">
        <f>YEAR(Table1[[#This Row],[Order_Date]])</f>
        <v>2025</v>
      </c>
      <c r="E827" t="s">
        <v>46</v>
      </c>
      <c r="F827" t="s">
        <v>74</v>
      </c>
      <c r="G827" t="s">
        <v>128</v>
      </c>
      <c r="H827" t="s">
        <v>2018</v>
      </c>
      <c r="I827" t="s">
        <v>76</v>
      </c>
      <c r="J827" t="s">
        <v>77</v>
      </c>
      <c r="K827">
        <v>14</v>
      </c>
      <c r="L827">
        <v>64630</v>
      </c>
      <c r="M827">
        <v>31285</v>
      </c>
      <c r="N827">
        <v>33345</v>
      </c>
      <c r="O827" s="6">
        <f>Table1[[#This Row],[Profit]]/Table1[[#This Row],[Sales_Amount]]</f>
        <v>0.51593687142194022</v>
      </c>
      <c r="P827" t="s">
        <v>52</v>
      </c>
    </row>
    <row r="828" spans="1:16" x14ac:dyDescent="0.35">
      <c r="A828" t="s">
        <v>2019</v>
      </c>
      <c r="B828" t="s">
        <v>134</v>
      </c>
      <c r="C828" t="str">
        <f>TEXT(Table1[[#This Row],[Order_Date]],"mmm")</f>
        <v>Jun</v>
      </c>
      <c r="D828">
        <f>YEAR(Table1[[#This Row],[Order_Date]])</f>
        <v>2025</v>
      </c>
      <c r="E828" t="s">
        <v>63</v>
      </c>
      <c r="F828" t="s">
        <v>104</v>
      </c>
      <c r="G828" t="s">
        <v>116</v>
      </c>
      <c r="H828" t="s">
        <v>2020</v>
      </c>
      <c r="I828" t="s">
        <v>87</v>
      </c>
      <c r="J828" t="s">
        <v>88</v>
      </c>
      <c r="K828">
        <v>14</v>
      </c>
      <c r="L828">
        <v>91815</v>
      </c>
      <c r="M828">
        <v>59483</v>
      </c>
      <c r="N828">
        <v>32332</v>
      </c>
      <c r="O828" s="6">
        <f>Table1[[#This Row],[Profit]]/Table1[[#This Row],[Sales_Amount]]</f>
        <v>0.35214289604095189</v>
      </c>
      <c r="P828" t="s">
        <v>52</v>
      </c>
    </row>
    <row r="829" spans="1:16" x14ac:dyDescent="0.35">
      <c r="A829" t="s">
        <v>2021</v>
      </c>
      <c r="B829" t="s">
        <v>1868</v>
      </c>
      <c r="C829" t="str">
        <f>TEXT(Table1[[#This Row],[Order_Date]],"mmm")</f>
        <v>Jun</v>
      </c>
      <c r="D829">
        <f>YEAR(Table1[[#This Row],[Order_Date]])</f>
        <v>2025</v>
      </c>
      <c r="E829" t="s">
        <v>111</v>
      </c>
      <c r="F829" t="s">
        <v>112</v>
      </c>
      <c r="G829" t="s">
        <v>80</v>
      </c>
      <c r="H829" t="s">
        <v>2022</v>
      </c>
      <c r="I829" t="s">
        <v>143</v>
      </c>
      <c r="J829" t="s">
        <v>51</v>
      </c>
      <c r="K829">
        <v>10</v>
      </c>
      <c r="L829">
        <v>12562</v>
      </c>
      <c r="M829">
        <v>9159</v>
      </c>
      <c r="N829">
        <v>3403</v>
      </c>
      <c r="O829" s="6">
        <f>Table1[[#This Row],[Profit]]/Table1[[#This Row],[Sales_Amount]]</f>
        <v>0.27089635408374463</v>
      </c>
      <c r="P829" t="s">
        <v>52</v>
      </c>
    </row>
    <row r="830" spans="1:16" x14ac:dyDescent="0.35">
      <c r="A830" t="s">
        <v>2023</v>
      </c>
      <c r="B830" t="s">
        <v>463</v>
      </c>
      <c r="C830" t="str">
        <f>TEXT(Table1[[#This Row],[Order_Date]],"mmm")</f>
        <v>Apr</v>
      </c>
      <c r="D830">
        <f>YEAR(Table1[[#This Row],[Order_Date]])</f>
        <v>2025</v>
      </c>
      <c r="E830" t="s">
        <v>63</v>
      </c>
      <c r="F830" t="s">
        <v>64</v>
      </c>
      <c r="G830" t="s">
        <v>128</v>
      </c>
      <c r="H830" t="s">
        <v>2024</v>
      </c>
      <c r="I830" t="s">
        <v>50</v>
      </c>
      <c r="J830" t="s">
        <v>51</v>
      </c>
      <c r="K830">
        <v>24</v>
      </c>
      <c r="L830">
        <v>104602</v>
      </c>
      <c r="M830">
        <v>82240</v>
      </c>
      <c r="N830">
        <v>22362</v>
      </c>
      <c r="O830" s="6">
        <f>Table1[[#This Row],[Profit]]/Table1[[#This Row],[Sales_Amount]]</f>
        <v>0.2137817632550047</v>
      </c>
      <c r="P830" t="s">
        <v>52</v>
      </c>
    </row>
    <row r="831" spans="1:16" x14ac:dyDescent="0.35">
      <c r="A831" t="s">
        <v>2025</v>
      </c>
      <c r="B831" t="s">
        <v>951</v>
      </c>
      <c r="C831" t="str">
        <f>TEXT(Table1[[#This Row],[Order_Date]],"mmm")</f>
        <v>Nov</v>
      </c>
      <c r="D831">
        <f>YEAR(Table1[[#This Row],[Order_Date]])</f>
        <v>2025</v>
      </c>
      <c r="E831" t="s">
        <v>63</v>
      </c>
      <c r="F831" t="s">
        <v>104</v>
      </c>
      <c r="G831" t="s">
        <v>80</v>
      </c>
      <c r="H831" t="s">
        <v>2026</v>
      </c>
      <c r="I831" t="s">
        <v>156</v>
      </c>
      <c r="J831" t="s">
        <v>157</v>
      </c>
      <c r="K831">
        <v>25</v>
      </c>
      <c r="L831">
        <v>25669</v>
      </c>
      <c r="M831">
        <v>16385</v>
      </c>
      <c r="N831">
        <v>9284</v>
      </c>
      <c r="O831" s="6">
        <f>Table1[[#This Row],[Profit]]/Table1[[#This Row],[Sales_Amount]]</f>
        <v>0.36168140558650513</v>
      </c>
      <c r="P831" t="s">
        <v>60</v>
      </c>
    </row>
    <row r="832" spans="1:16" x14ac:dyDescent="0.35">
      <c r="A832" t="s">
        <v>2027</v>
      </c>
      <c r="B832" t="s">
        <v>360</v>
      </c>
      <c r="C832" t="str">
        <f>TEXT(Table1[[#This Row],[Order_Date]],"mmm")</f>
        <v>Apr</v>
      </c>
      <c r="D832">
        <f>YEAR(Table1[[#This Row],[Order_Date]])</f>
        <v>2025</v>
      </c>
      <c r="E832" t="s">
        <v>63</v>
      </c>
      <c r="F832" t="s">
        <v>64</v>
      </c>
      <c r="G832" t="s">
        <v>70</v>
      </c>
      <c r="H832" t="s">
        <v>2028</v>
      </c>
      <c r="I832" t="s">
        <v>76</v>
      </c>
      <c r="J832" t="s">
        <v>77</v>
      </c>
      <c r="K832">
        <v>12</v>
      </c>
      <c r="L832">
        <v>81226</v>
      </c>
      <c r="M832">
        <v>55439</v>
      </c>
      <c r="N832">
        <v>25787</v>
      </c>
      <c r="O832" s="6">
        <f>Table1[[#This Row],[Profit]]/Table1[[#This Row],[Sales_Amount]]</f>
        <v>0.31747223795336471</v>
      </c>
      <c r="P832" t="s">
        <v>52</v>
      </c>
    </row>
    <row r="833" spans="1:16" x14ac:dyDescent="0.35">
      <c r="A833" t="s">
        <v>2029</v>
      </c>
      <c r="B833" t="s">
        <v>96</v>
      </c>
      <c r="C833" t="str">
        <f>TEXT(Table1[[#This Row],[Order_Date]],"mmm")</f>
        <v>Mar</v>
      </c>
      <c r="D833">
        <f>YEAR(Table1[[#This Row],[Order_Date]])</f>
        <v>2025</v>
      </c>
      <c r="E833" t="s">
        <v>111</v>
      </c>
      <c r="F833" t="s">
        <v>112</v>
      </c>
      <c r="G833" t="s">
        <v>128</v>
      </c>
      <c r="H833" t="s">
        <v>2030</v>
      </c>
      <c r="I833" t="s">
        <v>76</v>
      </c>
      <c r="J833" t="s">
        <v>77</v>
      </c>
      <c r="K833">
        <v>11</v>
      </c>
      <c r="L833">
        <v>52221</v>
      </c>
      <c r="M833">
        <v>37581</v>
      </c>
      <c r="N833">
        <v>14640</v>
      </c>
      <c r="O833" s="6">
        <f>Table1[[#This Row],[Profit]]/Table1[[#This Row],[Sales_Amount]]</f>
        <v>0.28034698684437298</v>
      </c>
      <c r="P833" t="s">
        <v>98</v>
      </c>
    </row>
    <row r="834" spans="1:16" x14ac:dyDescent="0.35">
      <c r="A834" t="s">
        <v>2031</v>
      </c>
      <c r="B834" t="s">
        <v>454</v>
      </c>
      <c r="C834" t="str">
        <f>TEXT(Table1[[#This Row],[Order_Date]],"mmm")</f>
        <v>May</v>
      </c>
      <c r="D834">
        <f>YEAR(Table1[[#This Row],[Order_Date]])</f>
        <v>2025</v>
      </c>
      <c r="E834" t="s">
        <v>46</v>
      </c>
      <c r="F834" t="s">
        <v>47</v>
      </c>
      <c r="G834" t="s">
        <v>128</v>
      </c>
      <c r="H834" t="s">
        <v>2032</v>
      </c>
      <c r="I834" t="s">
        <v>156</v>
      </c>
      <c r="J834" t="s">
        <v>157</v>
      </c>
      <c r="K834">
        <v>25</v>
      </c>
      <c r="L834">
        <v>77002</v>
      </c>
      <c r="M834">
        <v>62226</v>
      </c>
      <c r="N834">
        <v>14776</v>
      </c>
      <c r="O834" s="6">
        <f>Table1[[#This Row],[Profit]]/Table1[[#This Row],[Sales_Amount]]</f>
        <v>0.19189111971117634</v>
      </c>
      <c r="P834" t="s">
        <v>52</v>
      </c>
    </row>
    <row r="835" spans="1:16" x14ac:dyDescent="0.35">
      <c r="A835" t="s">
        <v>2033</v>
      </c>
      <c r="B835" t="s">
        <v>518</v>
      </c>
      <c r="C835" t="str">
        <f>TEXT(Table1[[#This Row],[Order_Date]],"mmm")</f>
        <v>Nov</v>
      </c>
      <c r="D835">
        <f>YEAR(Table1[[#This Row],[Order_Date]])</f>
        <v>2025</v>
      </c>
      <c r="E835" t="s">
        <v>46</v>
      </c>
      <c r="F835" t="s">
        <v>74</v>
      </c>
      <c r="G835" t="s">
        <v>80</v>
      </c>
      <c r="H835" t="s">
        <v>2034</v>
      </c>
      <c r="I835" t="s">
        <v>82</v>
      </c>
      <c r="J835" t="s">
        <v>83</v>
      </c>
      <c r="K835">
        <v>7</v>
      </c>
      <c r="L835">
        <v>23653</v>
      </c>
      <c r="M835">
        <v>14857</v>
      </c>
      <c r="N835">
        <v>8796</v>
      </c>
      <c r="O835" s="6">
        <f>Table1[[#This Row],[Profit]]/Table1[[#This Row],[Sales_Amount]]</f>
        <v>0.37187671754111529</v>
      </c>
      <c r="P835" t="s">
        <v>98</v>
      </c>
    </row>
    <row r="836" spans="1:16" x14ac:dyDescent="0.35">
      <c r="A836" t="s">
        <v>2035</v>
      </c>
      <c r="B836" t="s">
        <v>249</v>
      </c>
      <c r="C836" t="str">
        <f>TEXT(Table1[[#This Row],[Order_Date]],"mmm")</f>
        <v>Apr</v>
      </c>
      <c r="D836">
        <f>YEAR(Table1[[#This Row],[Order_Date]])</f>
        <v>2025</v>
      </c>
      <c r="E836" t="s">
        <v>55</v>
      </c>
      <c r="F836" t="s">
        <v>56</v>
      </c>
      <c r="G836" t="s">
        <v>80</v>
      </c>
      <c r="H836" t="s">
        <v>2036</v>
      </c>
      <c r="I836" t="s">
        <v>156</v>
      </c>
      <c r="J836" t="s">
        <v>157</v>
      </c>
      <c r="K836">
        <v>9</v>
      </c>
      <c r="L836">
        <v>61800</v>
      </c>
      <c r="M836">
        <v>44681</v>
      </c>
      <c r="N836">
        <v>17119</v>
      </c>
      <c r="O836" s="6">
        <f>Table1[[#This Row],[Profit]]/Table1[[#This Row],[Sales_Amount]]</f>
        <v>0.27700647249190941</v>
      </c>
      <c r="P836" t="s">
        <v>52</v>
      </c>
    </row>
    <row r="837" spans="1:16" x14ac:dyDescent="0.35">
      <c r="A837" t="s">
        <v>2037</v>
      </c>
      <c r="B837" t="s">
        <v>863</v>
      </c>
      <c r="C837" t="str">
        <f>TEXT(Table1[[#This Row],[Order_Date]],"mmm")</f>
        <v>Aug</v>
      </c>
      <c r="D837">
        <f>YEAR(Table1[[#This Row],[Order_Date]])</f>
        <v>2025</v>
      </c>
      <c r="E837" t="s">
        <v>55</v>
      </c>
      <c r="F837" t="s">
        <v>56</v>
      </c>
      <c r="G837" t="s">
        <v>80</v>
      </c>
      <c r="H837" t="s">
        <v>2038</v>
      </c>
      <c r="I837" t="s">
        <v>76</v>
      </c>
      <c r="J837" t="s">
        <v>77</v>
      </c>
      <c r="K837">
        <v>2</v>
      </c>
      <c r="L837">
        <v>67648</v>
      </c>
      <c r="M837">
        <v>41955</v>
      </c>
      <c r="N837">
        <v>25693</v>
      </c>
      <c r="O837" s="6">
        <f>Table1[[#This Row],[Profit]]/Table1[[#This Row],[Sales_Amount]]</f>
        <v>0.37980428098391672</v>
      </c>
      <c r="P837" t="s">
        <v>52</v>
      </c>
    </row>
    <row r="838" spans="1:16" x14ac:dyDescent="0.35">
      <c r="A838" t="s">
        <v>2039</v>
      </c>
      <c r="B838" t="s">
        <v>586</v>
      </c>
      <c r="C838" t="str">
        <f>TEXT(Table1[[#This Row],[Order_Date]],"mmm")</f>
        <v>Dec</v>
      </c>
      <c r="D838">
        <f>YEAR(Table1[[#This Row],[Order_Date]])</f>
        <v>2025</v>
      </c>
      <c r="E838" t="s">
        <v>63</v>
      </c>
      <c r="F838" t="s">
        <v>104</v>
      </c>
      <c r="G838" t="s">
        <v>48</v>
      </c>
      <c r="H838" t="s">
        <v>2040</v>
      </c>
      <c r="I838" t="s">
        <v>82</v>
      </c>
      <c r="J838" t="s">
        <v>83</v>
      </c>
      <c r="K838">
        <v>2</v>
      </c>
      <c r="L838">
        <v>53573</v>
      </c>
      <c r="M838">
        <v>31610</v>
      </c>
      <c r="N838">
        <v>21963</v>
      </c>
      <c r="O838" s="6">
        <f>Table1[[#This Row],[Profit]]/Table1[[#This Row],[Sales_Amount]]</f>
        <v>0.40996397439008458</v>
      </c>
      <c r="P838" t="s">
        <v>121</v>
      </c>
    </row>
    <row r="839" spans="1:16" x14ac:dyDescent="0.35">
      <c r="A839" t="s">
        <v>2041</v>
      </c>
      <c r="B839" t="s">
        <v>165</v>
      </c>
      <c r="C839" t="str">
        <f>TEXT(Table1[[#This Row],[Order_Date]],"mmm")</f>
        <v>Mar</v>
      </c>
      <c r="D839">
        <f>YEAR(Table1[[#This Row],[Order_Date]])</f>
        <v>2025</v>
      </c>
      <c r="E839" t="s">
        <v>111</v>
      </c>
      <c r="F839" t="s">
        <v>112</v>
      </c>
      <c r="G839" t="s">
        <v>57</v>
      </c>
      <c r="H839" t="s">
        <v>2042</v>
      </c>
      <c r="I839" t="s">
        <v>67</v>
      </c>
      <c r="J839" t="s">
        <v>51</v>
      </c>
      <c r="K839">
        <v>12</v>
      </c>
      <c r="L839">
        <v>24575</v>
      </c>
      <c r="M839">
        <v>17052</v>
      </c>
      <c r="N839">
        <v>7523</v>
      </c>
      <c r="O839" s="6">
        <f>Table1[[#This Row],[Profit]]/Table1[[#This Row],[Sales_Amount]]</f>
        <v>0.30612410986775179</v>
      </c>
      <c r="P839" t="s">
        <v>98</v>
      </c>
    </row>
    <row r="840" spans="1:16" x14ac:dyDescent="0.35">
      <c r="A840" t="s">
        <v>2043</v>
      </c>
      <c r="B840" t="s">
        <v>187</v>
      </c>
      <c r="C840" t="str">
        <f>TEXT(Table1[[#This Row],[Order_Date]],"mmm")</f>
        <v>Apr</v>
      </c>
      <c r="D840">
        <f>YEAR(Table1[[#This Row],[Order_Date]])</f>
        <v>2025</v>
      </c>
      <c r="E840" t="s">
        <v>111</v>
      </c>
      <c r="F840" t="s">
        <v>169</v>
      </c>
      <c r="G840" t="s">
        <v>57</v>
      </c>
      <c r="H840" t="s">
        <v>2044</v>
      </c>
      <c r="I840" t="s">
        <v>156</v>
      </c>
      <c r="J840" t="s">
        <v>157</v>
      </c>
      <c r="K840">
        <v>4</v>
      </c>
      <c r="L840">
        <v>44244</v>
      </c>
      <c r="M840">
        <v>35492</v>
      </c>
      <c r="N840">
        <v>8752</v>
      </c>
      <c r="O840" s="6">
        <f>Table1[[#This Row],[Profit]]/Table1[[#This Row],[Sales_Amount]]</f>
        <v>0.19781213271856071</v>
      </c>
      <c r="P840" t="s">
        <v>60</v>
      </c>
    </row>
    <row r="841" spans="1:16" x14ac:dyDescent="0.35">
      <c r="A841" t="s">
        <v>2045</v>
      </c>
      <c r="B841" t="s">
        <v>1127</v>
      </c>
      <c r="C841" t="str">
        <f>TEXT(Table1[[#This Row],[Order_Date]],"mmm")</f>
        <v>Nov</v>
      </c>
      <c r="D841">
        <f>YEAR(Table1[[#This Row],[Order_Date]])</f>
        <v>2025</v>
      </c>
      <c r="E841" t="s">
        <v>111</v>
      </c>
      <c r="F841" t="s">
        <v>112</v>
      </c>
      <c r="G841" t="s">
        <v>48</v>
      </c>
      <c r="H841" t="s">
        <v>2046</v>
      </c>
      <c r="I841" t="s">
        <v>125</v>
      </c>
      <c r="J841" t="s">
        <v>83</v>
      </c>
      <c r="K841">
        <v>14</v>
      </c>
      <c r="L841">
        <v>86979</v>
      </c>
      <c r="M841">
        <v>50862</v>
      </c>
      <c r="N841">
        <v>36117</v>
      </c>
      <c r="O841" s="6">
        <f>Table1[[#This Row],[Profit]]/Table1[[#This Row],[Sales_Amount]]</f>
        <v>0.41523816093539823</v>
      </c>
      <c r="P841" t="s">
        <v>98</v>
      </c>
    </row>
    <row r="842" spans="1:16" x14ac:dyDescent="0.35">
      <c r="A842" t="s">
        <v>2047</v>
      </c>
      <c r="B842" t="s">
        <v>2048</v>
      </c>
      <c r="C842" t="str">
        <f>TEXT(Table1[[#This Row],[Order_Date]],"mmm")</f>
        <v>Jun</v>
      </c>
      <c r="D842">
        <f>YEAR(Table1[[#This Row],[Order_Date]])</f>
        <v>2025</v>
      </c>
      <c r="E842" t="s">
        <v>63</v>
      </c>
      <c r="F842" t="s">
        <v>64</v>
      </c>
      <c r="G842" t="s">
        <v>116</v>
      </c>
      <c r="H842" t="s">
        <v>2049</v>
      </c>
      <c r="I842" t="s">
        <v>125</v>
      </c>
      <c r="J842" t="s">
        <v>83</v>
      </c>
      <c r="K842">
        <v>5</v>
      </c>
      <c r="L842">
        <v>54763</v>
      </c>
      <c r="M842">
        <v>27922</v>
      </c>
      <c r="N842">
        <v>26841</v>
      </c>
      <c r="O842" s="6">
        <f>Table1[[#This Row],[Profit]]/Table1[[#This Row],[Sales_Amount]]</f>
        <v>0.49013019739605207</v>
      </c>
      <c r="P842" t="s">
        <v>121</v>
      </c>
    </row>
    <row r="843" spans="1:16" x14ac:dyDescent="0.35">
      <c r="A843" t="s">
        <v>2050</v>
      </c>
      <c r="B843" t="s">
        <v>145</v>
      </c>
      <c r="C843" t="str">
        <f>TEXT(Table1[[#This Row],[Order_Date]],"mmm")</f>
        <v>Aug</v>
      </c>
      <c r="D843">
        <f>YEAR(Table1[[#This Row],[Order_Date]])</f>
        <v>2025</v>
      </c>
      <c r="E843" t="s">
        <v>46</v>
      </c>
      <c r="F843" t="s">
        <v>47</v>
      </c>
      <c r="G843" t="s">
        <v>70</v>
      </c>
      <c r="H843" t="s">
        <v>1759</v>
      </c>
      <c r="I843" t="s">
        <v>82</v>
      </c>
      <c r="J843" t="s">
        <v>83</v>
      </c>
      <c r="K843">
        <v>7</v>
      </c>
      <c r="L843">
        <v>34832</v>
      </c>
      <c r="M843">
        <v>27291</v>
      </c>
      <c r="N843">
        <v>7541</v>
      </c>
      <c r="O843" s="6">
        <f>Table1[[#This Row],[Profit]]/Table1[[#This Row],[Sales_Amount]]</f>
        <v>0.21649632521819018</v>
      </c>
      <c r="P843" t="s">
        <v>121</v>
      </c>
    </row>
    <row r="844" spans="1:16" x14ac:dyDescent="0.35">
      <c r="A844" t="s">
        <v>2051</v>
      </c>
      <c r="B844" t="s">
        <v>371</v>
      </c>
      <c r="C844" t="str">
        <f>TEXT(Table1[[#This Row],[Order_Date]],"mmm")</f>
        <v>Aug</v>
      </c>
      <c r="D844">
        <f>YEAR(Table1[[#This Row],[Order_Date]])</f>
        <v>2025</v>
      </c>
      <c r="E844" t="s">
        <v>63</v>
      </c>
      <c r="F844" t="s">
        <v>104</v>
      </c>
      <c r="G844" t="s">
        <v>138</v>
      </c>
      <c r="H844" t="s">
        <v>2052</v>
      </c>
      <c r="I844" t="s">
        <v>67</v>
      </c>
      <c r="J844" t="s">
        <v>51</v>
      </c>
      <c r="K844">
        <v>9</v>
      </c>
      <c r="L844">
        <v>83428</v>
      </c>
      <c r="M844">
        <v>56040</v>
      </c>
      <c r="N844">
        <v>27388</v>
      </c>
      <c r="O844" s="6">
        <f>Table1[[#This Row],[Profit]]/Table1[[#This Row],[Sales_Amount]]</f>
        <v>0.32828307043198929</v>
      </c>
      <c r="P844" t="s">
        <v>121</v>
      </c>
    </row>
    <row r="845" spans="1:16" x14ac:dyDescent="0.35">
      <c r="A845" t="s">
        <v>2053</v>
      </c>
      <c r="B845" t="s">
        <v>206</v>
      </c>
      <c r="C845" t="str">
        <f>TEXT(Table1[[#This Row],[Order_Date]],"mmm")</f>
        <v>Jan</v>
      </c>
      <c r="D845">
        <f>YEAR(Table1[[#This Row],[Order_Date]])</f>
        <v>2025</v>
      </c>
      <c r="E845" t="s">
        <v>55</v>
      </c>
      <c r="F845" t="s">
        <v>56</v>
      </c>
      <c r="G845" t="s">
        <v>128</v>
      </c>
      <c r="H845" t="s">
        <v>2054</v>
      </c>
      <c r="I845" t="s">
        <v>82</v>
      </c>
      <c r="J845" t="s">
        <v>83</v>
      </c>
      <c r="K845">
        <v>11</v>
      </c>
      <c r="L845">
        <v>92250</v>
      </c>
      <c r="M845">
        <v>47408</v>
      </c>
      <c r="N845">
        <v>44842</v>
      </c>
      <c r="O845" s="6">
        <f>Table1[[#This Row],[Profit]]/Table1[[#This Row],[Sales_Amount]]</f>
        <v>0.48609214092140923</v>
      </c>
      <c r="P845" t="s">
        <v>60</v>
      </c>
    </row>
    <row r="846" spans="1:16" x14ac:dyDescent="0.35">
      <c r="A846" t="s">
        <v>2055</v>
      </c>
      <c r="B846" t="s">
        <v>271</v>
      </c>
      <c r="C846" t="str">
        <f>TEXT(Table1[[#This Row],[Order_Date]],"mmm")</f>
        <v>Aug</v>
      </c>
      <c r="D846">
        <f>YEAR(Table1[[#This Row],[Order_Date]])</f>
        <v>2025</v>
      </c>
      <c r="E846" t="s">
        <v>55</v>
      </c>
      <c r="F846" t="s">
        <v>56</v>
      </c>
      <c r="G846" t="s">
        <v>116</v>
      </c>
      <c r="H846" t="s">
        <v>2056</v>
      </c>
      <c r="I846" t="s">
        <v>59</v>
      </c>
      <c r="J846" t="s">
        <v>51</v>
      </c>
      <c r="K846">
        <v>19</v>
      </c>
      <c r="L846">
        <v>39550</v>
      </c>
      <c r="M846">
        <v>25875</v>
      </c>
      <c r="N846">
        <v>13675</v>
      </c>
      <c r="O846" s="6">
        <f>Table1[[#This Row],[Profit]]/Table1[[#This Row],[Sales_Amount]]</f>
        <v>0.34576485461441214</v>
      </c>
      <c r="P846" t="s">
        <v>98</v>
      </c>
    </row>
    <row r="847" spans="1:16" x14ac:dyDescent="0.35">
      <c r="A847" t="s">
        <v>2057</v>
      </c>
      <c r="B847" t="s">
        <v>912</v>
      </c>
      <c r="C847" t="str">
        <f>TEXT(Table1[[#This Row],[Order_Date]],"mmm")</f>
        <v>Jul</v>
      </c>
      <c r="D847">
        <f>YEAR(Table1[[#This Row],[Order_Date]])</f>
        <v>2025</v>
      </c>
      <c r="E847" t="s">
        <v>46</v>
      </c>
      <c r="F847" t="s">
        <v>74</v>
      </c>
      <c r="G847" t="s">
        <v>116</v>
      </c>
      <c r="H847" t="s">
        <v>2058</v>
      </c>
      <c r="I847" t="s">
        <v>76</v>
      </c>
      <c r="J847" t="s">
        <v>77</v>
      </c>
      <c r="K847">
        <v>13</v>
      </c>
      <c r="L847">
        <v>112491</v>
      </c>
      <c r="M847">
        <v>53186</v>
      </c>
      <c r="N847">
        <v>59305</v>
      </c>
      <c r="O847" s="6">
        <f>Table1[[#This Row],[Profit]]/Table1[[#This Row],[Sales_Amount]]</f>
        <v>0.52719773137406545</v>
      </c>
      <c r="P847" t="s">
        <v>52</v>
      </c>
    </row>
    <row r="848" spans="1:16" x14ac:dyDescent="0.35">
      <c r="A848" t="s">
        <v>2059</v>
      </c>
      <c r="B848" t="s">
        <v>388</v>
      </c>
      <c r="C848" t="str">
        <f>TEXT(Table1[[#This Row],[Order_Date]],"mmm")</f>
        <v>Jun</v>
      </c>
      <c r="D848">
        <f>YEAR(Table1[[#This Row],[Order_Date]])</f>
        <v>2025</v>
      </c>
      <c r="E848" t="s">
        <v>63</v>
      </c>
      <c r="F848" t="s">
        <v>64</v>
      </c>
      <c r="G848" t="s">
        <v>138</v>
      </c>
      <c r="H848" t="s">
        <v>2060</v>
      </c>
      <c r="I848" t="s">
        <v>156</v>
      </c>
      <c r="J848" t="s">
        <v>157</v>
      </c>
      <c r="K848">
        <v>6</v>
      </c>
      <c r="L848">
        <v>48559</v>
      </c>
      <c r="M848">
        <v>23019</v>
      </c>
      <c r="N848">
        <v>25540</v>
      </c>
      <c r="O848" s="6">
        <f>Table1[[#This Row],[Profit]]/Table1[[#This Row],[Sales_Amount]]</f>
        <v>0.52595811281121929</v>
      </c>
      <c r="P848" t="s">
        <v>98</v>
      </c>
    </row>
    <row r="849" spans="1:16" x14ac:dyDescent="0.35">
      <c r="A849" t="s">
        <v>2061</v>
      </c>
      <c r="B849" t="s">
        <v>287</v>
      </c>
      <c r="C849" t="str">
        <f>TEXT(Table1[[#This Row],[Order_Date]],"mmm")</f>
        <v>Nov</v>
      </c>
      <c r="D849">
        <f>YEAR(Table1[[#This Row],[Order_Date]])</f>
        <v>2025</v>
      </c>
      <c r="E849" t="s">
        <v>111</v>
      </c>
      <c r="F849" t="s">
        <v>169</v>
      </c>
      <c r="G849" t="s">
        <v>70</v>
      </c>
      <c r="H849" t="s">
        <v>2062</v>
      </c>
      <c r="I849" t="s">
        <v>67</v>
      </c>
      <c r="J849" t="s">
        <v>51</v>
      </c>
      <c r="K849">
        <v>2</v>
      </c>
      <c r="L849">
        <v>108996</v>
      </c>
      <c r="M849">
        <v>76411</v>
      </c>
      <c r="N849">
        <v>32585</v>
      </c>
      <c r="O849" s="6">
        <f>Table1[[#This Row],[Profit]]/Table1[[#This Row],[Sales_Amount]]</f>
        <v>0.29895592498807294</v>
      </c>
      <c r="P849" t="s">
        <v>121</v>
      </c>
    </row>
    <row r="850" spans="1:16" x14ac:dyDescent="0.35">
      <c r="A850" t="s">
        <v>2063</v>
      </c>
      <c r="B850" t="s">
        <v>1849</v>
      </c>
      <c r="C850" t="str">
        <f>TEXT(Table1[[#This Row],[Order_Date]],"mmm")</f>
        <v>Feb</v>
      </c>
      <c r="D850">
        <f>YEAR(Table1[[#This Row],[Order_Date]])</f>
        <v>2025</v>
      </c>
      <c r="E850" t="s">
        <v>55</v>
      </c>
      <c r="F850" t="s">
        <v>188</v>
      </c>
      <c r="G850" t="s">
        <v>70</v>
      </c>
      <c r="H850" t="s">
        <v>1774</v>
      </c>
      <c r="I850" t="s">
        <v>76</v>
      </c>
      <c r="J850" t="s">
        <v>77</v>
      </c>
      <c r="K850">
        <v>19</v>
      </c>
      <c r="L850">
        <v>95376</v>
      </c>
      <c r="M850">
        <v>71048</v>
      </c>
      <c r="N850">
        <v>24328</v>
      </c>
      <c r="O850" s="6">
        <f>Table1[[#This Row],[Profit]]/Table1[[#This Row],[Sales_Amount]]</f>
        <v>0.25507465190404294</v>
      </c>
      <c r="P850" t="s">
        <v>52</v>
      </c>
    </row>
    <row r="851" spans="1:16" x14ac:dyDescent="0.35">
      <c r="A851" t="s">
        <v>2064</v>
      </c>
      <c r="B851" t="s">
        <v>600</v>
      </c>
      <c r="C851" t="str">
        <f>TEXT(Table1[[#This Row],[Order_Date]],"mmm")</f>
        <v>Oct</v>
      </c>
      <c r="D851">
        <f>YEAR(Table1[[#This Row],[Order_Date]])</f>
        <v>2025</v>
      </c>
      <c r="E851" t="s">
        <v>63</v>
      </c>
      <c r="F851" t="s">
        <v>64</v>
      </c>
      <c r="G851" t="s">
        <v>80</v>
      </c>
      <c r="H851" t="s">
        <v>2065</v>
      </c>
      <c r="I851" t="s">
        <v>143</v>
      </c>
      <c r="J851" t="s">
        <v>51</v>
      </c>
      <c r="K851">
        <v>8</v>
      </c>
      <c r="L851">
        <v>18818</v>
      </c>
      <c r="M851">
        <v>8792</v>
      </c>
      <c r="N851">
        <v>10026</v>
      </c>
      <c r="O851" s="6">
        <f>Table1[[#This Row],[Profit]]/Table1[[#This Row],[Sales_Amount]]</f>
        <v>0.53278775640344356</v>
      </c>
      <c r="P851" t="s">
        <v>52</v>
      </c>
    </row>
    <row r="852" spans="1:16" x14ac:dyDescent="0.35">
      <c r="A852" t="s">
        <v>2066</v>
      </c>
      <c r="B852" t="s">
        <v>2067</v>
      </c>
      <c r="C852" t="str">
        <f>TEXT(Table1[[#This Row],[Order_Date]],"mmm")</f>
        <v>Jan</v>
      </c>
      <c r="D852">
        <f>YEAR(Table1[[#This Row],[Order_Date]])</f>
        <v>2025</v>
      </c>
      <c r="E852" t="s">
        <v>63</v>
      </c>
      <c r="F852" t="s">
        <v>64</v>
      </c>
      <c r="G852" t="s">
        <v>128</v>
      </c>
      <c r="H852" t="s">
        <v>2068</v>
      </c>
      <c r="I852" t="s">
        <v>156</v>
      </c>
      <c r="J852" t="s">
        <v>157</v>
      </c>
      <c r="K852">
        <v>21</v>
      </c>
      <c r="L852">
        <v>34644</v>
      </c>
      <c r="M852">
        <v>17904</v>
      </c>
      <c r="N852">
        <v>16740</v>
      </c>
      <c r="O852" s="6">
        <f>Table1[[#This Row],[Profit]]/Table1[[#This Row],[Sales_Amount]]</f>
        <v>0.48320055420852098</v>
      </c>
      <c r="P852" t="s">
        <v>52</v>
      </c>
    </row>
    <row r="853" spans="1:16" x14ac:dyDescent="0.35">
      <c r="A853" t="s">
        <v>2069</v>
      </c>
      <c r="B853" t="s">
        <v>690</v>
      </c>
      <c r="C853" t="str">
        <f>TEXT(Table1[[#This Row],[Order_Date]],"mmm")</f>
        <v>Jul</v>
      </c>
      <c r="D853">
        <f>YEAR(Table1[[#This Row],[Order_Date]])</f>
        <v>2025</v>
      </c>
      <c r="E853" t="s">
        <v>46</v>
      </c>
      <c r="F853" t="s">
        <v>74</v>
      </c>
      <c r="G853" t="s">
        <v>65</v>
      </c>
      <c r="H853" t="s">
        <v>2070</v>
      </c>
      <c r="I853" t="s">
        <v>59</v>
      </c>
      <c r="J853" t="s">
        <v>51</v>
      </c>
      <c r="K853">
        <v>3</v>
      </c>
      <c r="L853">
        <v>43509</v>
      </c>
      <c r="M853">
        <v>33073</v>
      </c>
      <c r="N853">
        <v>10436</v>
      </c>
      <c r="O853" s="6">
        <f>Table1[[#This Row],[Profit]]/Table1[[#This Row],[Sales_Amount]]</f>
        <v>0.23985842009699143</v>
      </c>
      <c r="P853" t="s">
        <v>121</v>
      </c>
    </row>
    <row r="854" spans="1:16" x14ac:dyDescent="0.35">
      <c r="A854" t="s">
        <v>2071</v>
      </c>
      <c r="B854" t="s">
        <v>2072</v>
      </c>
      <c r="C854" t="str">
        <f>TEXT(Table1[[#This Row],[Order_Date]],"mmm")</f>
        <v>Feb</v>
      </c>
      <c r="D854">
        <f>YEAR(Table1[[#This Row],[Order_Date]])</f>
        <v>2025</v>
      </c>
      <c r="E854" t="s">
        <v>63</v>
      </c>
      <c r="F854" t="s">
        <v>104</v>
      </c>
      <c r="G854" t="s">
        <v>116</v>
      </c>
      <c r="H854" t="s">
        <v>2073</v>
      </c>
      <c r="I854" t="s">
        <v>87</v>
      </c>
      <c r="J854" t="s">
        <v>88</v>
      </c>
      <c r="K854">
        <v>20</v>
      </c>
      <c r="L854">
        <v>67364</v>
      </c>
      <c r="M854">
        <v>53440</v>
      </c>
      <c r="N854">
        <v>13924</v>
      </c>
      <c r="O854" s="6">
        <f>Table1[[#This Row],[Profit]]/Table1[[#This Row],[Sales_Amount]]</f>
        <v>0.20669793955228311</v>
      </c>
      <c r="P854" t="s">
        <v>98</v>
      </c>
    </row>
    <row r="855" spans="1:16" x14ac:dyDescent="0.35">
      <c r="A855" t="s">
        <v>2074</v>
      </c>
      <c r="B855" t="s">
        <v>1378</v>
      </c>
      <c r="C855" t="str">
        <f>TEXT(Table1[[#This Row],[Order_Date]],"mmm")</f>
        <v>Dec</v>
      </c>
      <c r="D855">
        <f>YEAR(Table1[[#This Row],[Order_Date]])</f>
        <v>2025</v>
      </c>
      <c r="E855" t="s">
        <v>63</v>
      </c>
      <c r="F855" t="s">
        <v>64</v>
      </c>
      <c r="G855" t="s">
        <v>116</v>
      </c>
      <c r="H855" t="s">
        <v>1433</v>
      </c>
      <c r="I855" t="s">
        <v>87</v>
      </c>
      <c r="J855" t="s">
        <v>88</v>
      </c>
      <c r="K855">
        <v>17</v>
      </c>
      <c r="L855">
        <v>67318</v>
      </c>
      <c r="M855">
        <v>38721</v>
      </c>
      <c r="N855">
        <v>28597</v>
      </c>
      <c r="O855" s="6">
        <f>Table1[[#This Row],[Profit]]/Table1[[#This Row],[Sales_Amount]]</f>
        <v>0.42480465848658605</v>
      </c>
      <c r="P855" t="s">
        <v>98</v>
      </c>
    </row>
    <row r="856" spans="1:16" x14ac:dyDescent="0.35">
      <c r="A856" t="s">
        <v>2075</v>
      </c>
      <c r="B856" t="s">
        <v>1064</v>
      </c>
      <c r="C856" t="str">
        <f>TEXT(Table1[[#This Row],[Order_Date]],"mmm")</f>
        <v>Jan</v>
      </c>
      <c r="D856">
        <f>YEAR(Table1[[#This Row],[Order_Date]])</f>
        <v>2026</v>
      </c>
      <c r="E856" t="s">
        <v>111</v>
      </c>
      <c r="F856" t="s">
        <v>112</v>
      </c>
      <c r="G856" t="s">
        <v>80</v>
      </c>
      <c r="H856" t="s">
        <v>2076</v>
      </c>
      <c r="I856" t="s">
        <v>82</v>
      </c>
      <c r="J856" t="s">
        <v>83</v>
      </c>
      <c r="K856">
        <v>16</v>
      </c>
      <c r="L856">
        <v>84577</v>
      </c>
      <c r="M856">
        <v>42327</v>
      </c>
      <c r="N856">
        <v>42250</v>
      </c>
      <c r="O856" s="6">
        <f>Table1[[#This Row],[Profit]]/Table1[[#This Row],[Sales_Amount]]</f>
        <v>0.49954479350177944</v>
      </c>
      <c r="P856" t="s">
        <v>60</v>
      </c>
    </row>
    <row r="857" spans="1:16" x14ac:dyDescent="0.35">
      <c r="A857" t="s">
        <v>2077</v>
      </c>
      <c r="B857" t="s">
        <v>719</v>
      </c>
      <c r="C857" t="str">
        <f>TEXT(Table1[[#This Row],[Order_Date]],"mmm")</f>
        <v>Nov</v>
      </c>
      <c r="D857">
        <f>YEAR(Table1[[#This Row],[Order_Date]])</f>
        <v>2025</v>
      </c>
      <c r="E857" t="s">
        <v>111</v>
      </c>
      <c r="F857" t="s">
        <v>112</v>
      </c>
      <c r="G857" t="s">
        <v>80</v>
      </c>
      <c r="H857" t="s">
        <v>2078</v>
      </c>
      <c r="I857" t="s">
        <v>82</v>
      </c>
      <c r="J857" t="s">
        <v>83</v>
      </c>
      <c r="K857">
        <v>10</v>
      </c>
      <c r="L857">
        <v>55016</v>
      </c>
      <c r="M857">
        <v>27641</v>
      </c>
      <c r="N857">
        <v>27375</v>
      </c>
      <c r="O857" s="6">
        <f>Table1[[#This Row],[Profit]]/Table1[[#This Row],[Sales_Amount]]</f>
        <v>0.49758252144830595</v>
      </c>
      <c r="P857" t="s">
        <v>121</v>
      </c>
    </row>
    <row r="858" spans="1:16" x14ac:dyDescent="0.35">
      <c r="A858" t="s">
        <v>2079</v>
      </c>
      <c r="B858" t="s">
        <v>131</v>
      </c>
      <c r="C858" t="str">
        <f>TEXT(Table1[[#This Row],[Order_Date]],"mmm")</f>
        <v>May</v>
      </c>
      <c r="D858">
        <f>YEAR(Table1[[#This Row],[Order_Date]])</f>
        <v>2025</v>
      </c>
      <c r="E858" t="s">
        <v>63</v>
      </c>
      <c r="F858" t="s">
        <v>64</v>
      </c>
      <c r="G858" t="s">
        <v>70</v>
      </c>
      <c r="H858" t="s">
        <v>2080</v>
      </c>
      <c r="I858" t="s">
        <v>82</v>
      </c>
      <c r="J858" t="s">
        <v>83</v>
      </c>
      <c r="K858">
        <v>10</v>
      </c>
      <c r="L858">
        <v>68263</v>
      </c>
      <c r="M858">
        <v>33705</v>
      </c>
      <c r="N858">
        <v>34558</v>
      </c>
      <c r="O858" s="6">
        <f>Table1[[#This Row],[Profit]]/Table1[[#This Row],[Sales_Amount]]</f>
        <v>0.50624789417400351</v>
      </c>
      <c r="P858" t="s">
        <v>121</v>
      </c>
    </row>
    <row r="859" spans="1:16" x14ac:dyDescent="0.35">
      <c r="A859" t="s">
        <v>2081</v>
      </c>
      <c r="B859" t="s">
        <v>1626</v>
      </c>
      <c r="C859" t="str">
        <f>TEXT(Table1[[#This Row],[Order_Date]],"mmm")</f>
        <v>May</v>
      </c>
      <c r="D859">
        <f>YEAR(Table1[[#This Row],[Order_Date]])</f>
        <v>2025</v>
      </c>
      <c r="E859" t="s">
        <v>63</v>
      </c>
      <c r="F859" t="s">
        <v>104</v>
      </c>
      <c r="G859" t="s">
        <v>48</v>
      </c>
      <c r="H859" t="s">
        <v>2082</v>
      </c>
      <c r="I859" t="s">
        <v>87</v>
      </c>
      <c r="J859" t="s">
        <v>88</v>
      </c>
      <c r="K859">
        <v>9</v>
      </c>
      <c r="L859">
        <v>62590</v>
      </c>
      <c r="M859">
        <v>39275</v>
      </c>
      <c r="N859">
        <v>23315</v>
      </c>
      <c r="O859" s="6">
        <f>Table1[[#This Row],[Profit]]/Table1[[#This Row],[Sales_Amount]]</f>
        <v>0.37250359482345424</v>
      </c>
      <c r="P859" t="s">
        <v>60</v>
      </c>
    </row>
    <row r="860" spans="1:16" x14ac:dyDescent="0.35">
      <c r="A860" t="s">
        <v>2083</v>
      </c>
      <c r="B860" t="s">
        <v>366</v>
      </c>
      <c r="C860" t="str">
        <f>TEXT(Table1[[#This Row],[Order_Date]],"mmm")</f>
        <v>May</v>
      </c>
      <c r="D860">
        <f>YEAR(Table1[[#This Row],[Order_Date]])</f>
        <v>2025</v>
      </c>
      <c r="E860" t="s">
        <v>63</v>
      </c>
      <c r="F860" t="s">
        <v>104</v>
      </c>
      <c r="G860" t="s">
        <v>138</v>
      </c>
      <c r="H860" t="s">
        <v>2084</v>
      </c>
      <c r="I860" t="s">
        <v>76</v>
      </c>
      <c r="J860" t="s">
        <v>77</v>
      </c>
      <c r="K860">
        <v>18</v>
      </c>
      <c r="L860">
        <v>63732</v>
      </c>
      <c r="M860">
        <v>53058</v>
      </c>
      <c r="N860">
        <v>10674</v>
      </c>
      <c r="O860" s="6">
        <f>Table1[[#This Row],[Profit]]/Table1[[#This Row],[Sales_Amount]]</f>
        <v>0.16748258331764262</v>
      </c>
      <c r="P860" t="s">
        <v>60</v>
      </c>
    </row>
    <row r="861" spans="1:16" x14ac:dyDescent="0.35">
      <c r="A861" t="s">
        <v>2085</v>
      </c>
      <c r="B861" t="s">
        <v>2072</v>
      </c>
      <c r="C861" t="str">
        <f>TEXT(Table1[[#This Row],[Order_Date]],"mmm")</f>
        <v>Feb</v>
      </c>
      <c r="D861">
        <f>YEAR(Table1[[#This Row],[Order_Date]])</f>
        <v>2025</v>
      </c>
      <c r="E861" t="s">
        <v>46</v>
      </c>
      <c r="F861" t="s">
        <v>74</v>
      </c>
      <c r="G861" t="s">
        <v>80</v>
      </c>
      <c r="H861" t="s">
        <v>2086</v>
      </c>
      <c r="I861" t="s">
        <v>143</v>
      </c>
      <c r="J861" t="s">
        <v>51</v>
      </c>
      <c r="K861">
        <v>24</v>
      </c>
      <c r="L861">
        <v>45223</v>
      </c>
      <c r="M861">
        <v>37187</v>
      </c>
      <c r="N861">
        <v>8036</v>
      </c>
      <c r="O861" s="6">
        <f>Table1[[#This Row],[Profit]]/Table1[[#This Row],[Sales_Amount]]</f>
        <v>0.17769718948322757</v>
      </c>
      <c r="P861" t="s">
        <v>98</v>
      </c>
    </row>
    <row r="862" spans="1:16" x14ac:dyDescent="0.35">
      <c r="A862" t="s">
        <v>2087</v>
      </c>
      <c r="B862" t="s">
        <v>1412</v>
      </c>
      <c r="C862" t="str">
        <f>TEXT(Table1[[#This Row],[Order_Date]],"mmm")</f>
        <v>Sep</v>
      </c>
      <c r="D862">
        <f>YEAR(Table1[[#This Row],[Order_Date]])</f>
        <v>2025</v>
      </c>
      <c r="E862" t="s">
        <v>55</v>
      </c>
      <c r="F862" t="s">
        <v>56</v>
      </c>
      <c r="G862" t="s">
        <v>70</v>
      </c>
      <c r="H862" t="s">
        <v>2088</v>
      </c>
      <c r="I862" t="s">
        <v>156</v>
      </c>
      <c r="J862" t="s">
        <v>157</v>
      </c>
      <c r="K862">
        <v>17</v>
      </c>
      <c r="L862">
        <v>28657</v>
      </c>
      <c r="M862">
        <v>16082</v>
      </c>
      <c r="N862">
        <v>12575</v>
      </c>
      <c r="O862" s="6">
        <f>Table1[[#This Row],[Profit]]/Table1[[#This Row],[Sales_Amount]]</f>
        <v>0.43881076176850331</v>
      </c>
      <c r="P862" t="s">
        <v>98</v>
      </c>
    </row>
    <row r="863" spans="1:16" x14ac:dyDescent="0.35">
      <c r="A863" t="s">
        <v>2089</v>
      </c>
      <c r="B863" t="s">
        <v>141</v>
      </c>
      <c r="C863" t="str">
        <f>TEXT(Table1[[#This Row],[Order_Date]],"mmm")</f>
        <v>Sep</v>
      </c>
      <c r="D863">
        <f>YEAR(Table1[[#This Row],[Order_Date]])</f>
        <v>2025</v>
      </c>
      <c r="E863" t="s">
        <v>55</v>
      </c>
      <c r="F863" t="s">
        <v>56</v>
      </c>
      <c r="G863" t="s">
        <v>80</v>
      </c>
      <c r="H863" t="s">
        <v>2090</v>
      </c>
      <c r="I863" t="s">
        <v>82</v>
      </c>
      <c r="J863" t="s">
        <v>83</v>
      </c>
      <c r="K863">
        <v>20</v>
      </c>
      <c r="L863">
        <v>33236</v>
      </c>
      <c r="M863">
        <v>20743</v>
      </c>
      <c r="N863">
        <v>12493</v>
      </c>
      <c r="O863" s="6">
        <f>Table1[[#This Row],[Profit]]/Table1[[#This Row],[Sales_Amount]]</f>
        <v>0.37588759176796244</v>
      </c>
      <c r="P863" t="s">
        <v>52</v>
      </c>
    </row>
    <row r="864" spans="1:16" x14ac:dyDescent="0.35">
      <c r="A864" t="s">
        <v>2091</v>
      </c>
      <c r="B864" t="s">
        <v>103</v>
      </c>
      <c r="C864" t="str">
        <f>TEXT(Table1[[#This Row],[Order_Date]],"mmm")</f>
        <v>Jan</v>
      </c>
      <c r="D864">
        <f>YEAR(Table1[[#This Row],[Order_Date]])</f>
        <v>2025</v>
      </c>
      <c r="E864" t="s">
        <v>46</v>
      </c>
      <c r="F864" t="s">
        <v>47</v>
      </c>
      <c r="G864" t="s">
        <v>57</v>
      </c>
      <c r="H864" t="s">
        <v>2092</v>
      </c>
      <c r="I864" t="s">
        <v>50</v>
      </c>
      <c r="J864" t="s">
        <v>51</v>
      </c>
      <c r="K864">
        <v>12</v>
      </c>
      <c r="L864">
        <v>9063</v>
      </c>
      <c r="M864">
        <v>4977</v>
      </c>
      <c r="N864">
        <v>4086</v>
      </c>
      <c r="O864" s="6">
        <f>Table1[[#This Row],[Profit]]/Table1[[#This Row],[Sales_Amount]]</f>
        <v>0.45084409136047665</v>
      </c>
      <c r="P864" t="s">
        <v>60</v>
      </c>
    </row>
    <row r="865" spans="1:16" x14ac:dyDescent="0.35">
      <c r="A865" t="s">
        <v>2093</v>
      </c>
      <c r="B865" t="s">
        <v>1072</v>
      </c>
      <c r="C865" t="str">
        <f>TEXT(Table1[[#This Row],[Order_Date]],"mmm")</f>
        <v>Sep</v>
      </c>
      <c r="D865">
        <f>YEAR(Table1[[#This Row],[Order_Date]])</f>
        <v>2025</v>
      </c>
      <c r="E865" t="s">
        <v>63</v>
      </c>
      <c r="F865" t="s">
        <v>104</v>
      </c>
      <c r="G865" t="s">
        <v>138</v>
      </c>
      <c r="H865" t="s">
        <v>2094</v>
      </c>
      <c r="I865" t="s">
        <v>50</v>
      </c>
      <c r="J865" t="s">
        <v>51</v>
      </c>
      <c r="K865">
        <v>13</v>
      </c>
      <c r="L865">
        <v>57766</v>
      </c>
      <c r="M865">
        <v>46345</v>
      </c>
      <c r="N865">
        <v>11421</v>
      </c>
      <c r="O865" s="6">
        <f>Table1[[#This Row],[Profit]]/Table1[[#This Row],[Sales_Amount]]</f>
        <v>0.19771145656614617</v>
      </c>
      <c r="P865" t="s">
        <v>98</v>
      </c>
    </row>
    <row r="866" spans="1:16" x14ac:dyDescent="0.35">
      <c r="A866" t="s">
        <v>2095</v>
      </c>
      <c r="B866" t="s">
        <v>722</v>
      </c>
      <c r="C866" t="str">
        <f>TEXT(Table1[[#This Row],[Order_Date]],"mmm")</f>
        <v>Jun</v>
      </c>
      <c r="D866">
        <f>YEAR(Table1[[#This Row],[Order_Date]])</f>
        <v>2025</v>
      </c>
      <c r="E866" t="s">
        <v>46</v>
      </c>
      <c r="F866" t="s">
        <v>74</v>
      </c>
      <c r="G866" t="s">
        <v>80</v>
      </c>
      <c r="H866" t="s">
        <v>2096</v>
      </c>
      <c r="I866" t="s">
        <v>76</v>
      </c>
      <c r="J866" t="s">
        <v>77</v>
      </c>
      <c r="K866">
        <v>15</v>
      </c>
      <c r="L866">
        <v>100838</v>
      </c>
      <c r="M866">
        <v>48256</v>
      </c>
      <c r="N866">
        <v>52582</v>
      </c>
      <c r="O866" s="6">
        <f>Table1[[#This Row],[Profit]]/Table1[[#This Row],[Sales_Amount]]</f>
        <v>0.52145024693072051</v>
      </c>
      <c r="P866" t="s">
        <v>60</v>
      </c>
    </row>
    <row r="867" spans="1:16" x14ac:dyDescent="0.35">
      <c r="A867" t="s">
        <v>2097</v>
      </c>
      <c r="B867" t="s">
        <v>534</v>
      </c>
      <c r="C867" t="str">
        <f>TEXT(Table1[[#This Row],[Order_Date]],"mmm")</f>
        <v>Jul</v>
      </c>
      <c r="D867">
        <f>YEAR(Table1[[#This Row],[Order_Date]])</f>
        <v>2025</v>
      </c>
      <c r="E867" t="s">
        <v>46</v>
      </c>
      <c r="F867" t="s">
        <v>47</v>
      </c>
      <c r="G867" t="s">
        <v>116</v>
      </c>
      <c r="H867" t="s">
        <v>2098</v>
      </c>
      <c r="I867" t="s">
        <v>76</v>
      </c>
      <c r="J867" t="s">
        <v>77</v>
      </c>
      <c r="K867">
        <v>18</v>
      </c>
      <c r="L867">
        <v>17477</v>
      </c>
      <c r="M867">
        <v>11178</v>
      </c>
      <c r="N867">
        <v>6299</v>
      </c>
      <c r="O867" s="6">
        <f>Table1[[#This Row],[Profit]]/Table1[[#This Row],[Sales_Amount]]</f>
        <v>0.36041654746237911</v>
      </c>
      <c r="P867" t="s">
        <v>60</v>
      </c>
    </row>
    <row r="868" spans="1:16" x14ac:dyDescent="0.35">
      <c r="A868" t="s">
        <v>2099</v>
      </c>
      <c r="B868" t="s">
        <v>471</v>
      </c>
      <c r="C868" t="str">
        <f>TEXT(Table1[[#This Row],[Order_Date]],"mmm")</f>
        <v>Mar</v>
      </c>
      <c r="D868">
        <f>YEAR(Table1[[#This Row],[Order_Date]])</f>
        <v>2025</v>
      </c>
      <c r="E868" t="s">
        <v>55</v>
      </c>
      <c r="F868" t="s">
        <v>56</v>
      </c>
      <c r="G868" t="s">
        <v>48</v>
      </c>
      <c r="H868" t="s">
        <v>2100</v>
      </c>
      <c r="I868" t="s">
        <v>67</v>
      </c>
      <c r="J868" t="s">
        <v>51</v>
      </c>
      <c r="K868">
        <v>5</v>
      </c>
      <c r="L868">
        <v>81135</v>
      </c>
      <c r="M868">
        <v>41580</v>
      </c>
      <c r="N868">
        <v>39555</v>
      </c>
      <c r="O868" s="6">
        <f>Table1[[#This Row],[Profit]]/Table1[[#This Row],[Sales_Amount]]</f>
        <v>0.4875207986688852</v>
      </c>
      <c r="P868" t="s">
        <v>52</v>
      </c>
    </row>
    <row r="869" spans="1:16" x14ac:dyDescent="0.35">
      <c r="A869" t="s">
        <v>2101</v>
      </c>
      <c r="B869" t="s">
        <v>497</v>
      </c>
      <c r="C869" t="str">
        <f>TEXT(Table1[[#This Row],[Order_Date]],"mmm")</f>
        <v>Mar</v>
      </c>
      <c r="D869">
        <f>YEAR(Table1[[#This Row],[Order_Date]])</f>
        <v>2025</v>
      </c>
      <c r="E869" t="s">
        <v>63</v>
      </c>
      <c r="F869" t="s">
        <v>64</v>
      </c>
      <c r="G869" t="s">
        <v>48</v>
      </c>
      <c r="H869" t="s">
        <v>2102</v>
      </c>
      <c r="I869" t="s">
        <v>76</v>
      </c>
      <c r="J869" t="s">
        <v>77</v>
      </c>
      <c r="K869">
        <v>18</v>
      </c>
      <c r="L869">
        <v>44670</v>
      </c>
      <c r="M869">
        <v>27837</v>
      </c>
      <c r="N869">
        <v>16833</v>
      </c>
      <c r="O869" s="6">
        <f>Table1[[#This Row],[Profit]]/Table1[[#This Row],[Sales_Amount]]</f>
        <v>0.37683008730691742</v>
      </c>
      <c r="P869" t="s">
        <v>52</v>
      </c>
    </row>
    <row r="870" spans="1:16" x14ac:dyDescent="0.35">
      <c r="A870" t="s">
        <v>2103</v>
      </c>
      <c r="B870" t="s">
        <v>548</v>
      </c>
      <c r="C870" t="str">
        <f>TEXT(Table1[[#This Row],[Order_Date]],"mmm")</f>
        <v>Sep</v>
      </c>
      <c r="D870">
        <f>YEAR(Table1[[#This Row],[Order_Date]])</f>
        <v>2025</v>
      </c>
      <c r="E870" t="s">
        <v>46</v>
      </c>
      <c r="F870" t="s">
        <v>47</v>
      </c>
      <c r="G870" t="s">
        <v>116</v>
      </c>
      <c r="H870" t="s">
        <v>2104</v>
      </c>
      <c r="I870" t="s">
        <v>59</v>
      </c>
      <c r="J870" t="s">
        <v>51</v>
      </c>
      <c r="K870">
        <v>23</v>
      </c>
      <c r="L870">
        <v>15719</v>
      </c>
      <c r="M870">
        <v>11722</v>
      </c>
      <c r="N870">
        <v>3997</v>
      </c>
      <c r="O870" s="6">
        <f>Table1[[#This Row],[Profit]]/Table1[[#This Row],[Sales_Amount]]</f>
        <v>0.25427826197595266</v>
      </c>
      <c r="P870" t="s">
        <v>52</v>
      </c>
    </row>
    <row r="871" spans="1:16" x14ac:dyDescent="0.35">
      <c r="A871" t="s">
        <v>2105</v>
      </c>
      <c r="B871" t="s">
        <v>360</v>
      </c>
      <c r="C871" t="str">
        <f>TEXT(Table1[[#This Row],[Order_Date]],"mmm")</f>
        <v>Apr</v>
      </c>
      <c r="D871">
        <f>YEAR(Table1[[#This Row],[Order_Date]])</f>
        <v>2025</v>
      </c>
      <c r="E871" t="s">
        <v>46</v>
      </c>
      <c r="F871" t="s">
        <v>74</v>
      </c>
      <c r="G871" t="s">
        <v>65</v>
      </c>
      <c r="H871" t="s">
        <v>2106</v>
      </c>
      <c r="I871" t="s">
        <v>76</v>
      </c>
      <c r="J871" t="s">
        <v>77</v>
      </c>
      <c r="K871">
        <v>24</v>
      </c>
      <c r="L871">
        <v>37718</v>
      </c>
      <c r="M871">
        <v>26953</v>
      </c>
      <c r="N871">
        <v>10765</v>
      </c>
      <c r="O871" s="6">
        <f>Table1[[#This Row],[Profit]]/Table1[[#This Row],[Sales_Amount]]</f>
        <v>0.28540749774643404</v>
      </c>
      <c r="P871" t="s">
        <v>98</v>
      </c>
    </row>
    <row r="872" spans="1:16" x14ac:dyDescent="0.35">
      <c r="A872" t="s">
        <v>2107</v>
      </c>
      <c r="B872" t="s">
        <v>1245</v>
      </c>
      <c r="C872" t="str">
        <f>TEXT(Table1[[#This Row],[Order_Date]],"mmm")</f>
        <v>Sep</v>
      </c>
      <c r="D872">
        <f>YEAR(Table1[[#This Row],[Order_Date]])</f>
        <v>2025</v>
      </c>
      <c r="E872" t="s">
        <v>55</v>
      </c>
      <c r="F872" t="s">
        <v>56</v>
      </c>
      <c r="G872" t="s">
        <v>48</v>
      </c>
      <c r="H872" t="s">
        <v>2108</v>
      </c>
      <c r="I872" t="s">
        <v>82</v>
      </c>
      <c r="J872" t="s">
        <v>83</v>
      </c>
      <c r="K872">
        <v>19</v>
      </c>
      <c r="L872">
        <v>69313</v>
      </c>
      <c r="M872">
        <v>45643</v>
      </c>
      <c r="N872">
        <v>23670</v>
      </c>
      <c r="O872" s="6">
        <f>Table1[[#This Row],[Profit]]/Table1[[#This Row],[Sales_Amount]]</f>
        <v>0.34149438056353065</v>
      </c>
      <c r="P872" t="s">
        <v>60</v>
      </c>
    </row>
    <row r="873" spans="1:16" x14ac:dyDescent="0.35">
      <c r="A873" t="s">
        <v>2109</v>
      </c>
      <c r="B873" t="s">
        <v>2048</v>
      </c>
      <c r="C873" t="str">
        <f>TEXT(Table1[[#This Row],[Order_Date]],"mmm")</f>
        <v>Jun</v>
      </c>
      <c r="D873">
        <f>YEAR(Table1[[#This Row],[Order_Date]])</f>
        <v>2025</v>
      </c>
      <c r="E873" t="s">
        <v>55</v>
      </c>
      <c r="F873" t="s">
        <v>188</v>
      </c>
      <c r="G873" t="s">
        <v>138</v>
      </c>
      <c r="H873" t="s">
        <v>380</v>
      </c>
      <c r="I873" t="s">
        <v>87</v>
      </c>
      <c r="J873" t="s">
        <v>88</v>
      </c>
      <c r="K873">
        <v>1</v>
      </c>
      <c r="L873">
        <v>68439</v>
      </c>
      <c r="M873">
        <v>31419</v>
      </c>
      <c r="N873">
        <v>37020</v>
      </c>
      <c r="O873" s="6">
        <f>Table1[[#This Row],[Profit]]/Table1[[#This Row],[Sales_Amount]]</f>
        <v>0.54091965107614082</v>
      </c>
      <c r="P873" t="s">
        <v>52</v>
      </c>
    </row>
    <row r="874" spans="1:16" x14ac:dyDescent="0.35">
      <c r="A874" t="s">
        <v>2110</v>
      </c>
      <c r="B874" t="s">
        <v>2111</v>
      </c>
      <c r="C874" t="str">
        <f>TEXT(Table1[[#This Row],[Order_Date]],"mmm")</f>
        <v>Sep</v>
      </c>
      <c r="D874">
        <f>YEAR(Table1[[#This Row],[Order_Date]])</f>
        <v>2025</v>
      </c>
      <c r="E874" t="s">
        <v>111</v>
      </c>
      <c r="F874" t="s">
        <v>169</v>
      </c>
      <c r="G874" t="s">
        <v>70</v>
      </c>
      <c r="H874" t="s">
        <v>2112</v>
      </c>
      <c r="I874" t="s">
        <v>87</v>
      </c>
      <c r="J874" t="s">
        <v>88</v>
      </c>
      <c r="K874">
        <v>7</v>
      </c>
      <c r="L874">
        <v>31566</v>
      </c>
      <c r="M874">
        <v>26585</v>
      </c>
      <c r="N874">
        <v>4981</v>
      </c>
      <c r="O874" s="6">
        <f>Table1[[#This Row],[Profit]]/Table1[[#This Row],[Sales_Amount]]</f>
        <v>0.15779636317556864</v>
      </c>
      <c r="P874" t="s">
        <v>60</v>
      </c>
    </row>
    <row r="875" spans="1:16" x14ac:dyDescent="0.35">
      <c r="A875" t="s">
        <v>2113</v>
      </c>
      <c r="B875" t="s">
        <v>62</v>
      </c>
      <c r="C875" t="str">
        <f>TEXT(Table1[[#This Row],[Order_Date]],"mmm")</f>
        <v>Mar</v>
      </c>
      <c r="D875">
        <f>YEAR(Table1[[#This Row],[Order_Date]])</f>
        <v>2025</v>
      </c>
      <c r="E875" t="s">
        <v>46</v>
      </c>
      <c r="F875" t="s">
        <v>74</v>
      </c>
      <c r="G875" t="s">
        <v>80</v>
      </c>
      <c r="H875" t="s">
        <v>2114</v>
      </c>
      <c r="I875" t="s">
        <v>82</v>
      </c>
      <c r="J875" t="s">
        <v>83</v>
      </c>
      <c r="K875">
        <v>6</v>
      </c>
      <c r="L875">
        <v>116916</v>
      </c>
      <c r="M875">
        <v>65408</v>
      </c>
      <c r="N875">
        <v>51508</v>
      </c>
      <c r="O875" s="6">
        <f>Table1[[#This Row],[Profit]]/Table1[[#This Row],[Sales_Amount]]</f>
        <v>0.44055561257655068</v>
      </c>
      <c r="P875" t="s">
        <v>52</v>
      </c>
    </row>
    <row r="876" spans="1:16" x14ac:dyDescent="0.35">
      <c r="A876" t="s">
        <v>2115</v>
      </c>
      <c r="B876" t="s">
        <v>191</v>
      </c>
      <c r="C876" t="str">
        <f>TEXT(Table1[[#This Row],[Order_Date]],"mmm")</f>
        <v>Oct</v>
      </c>
      <c r="D876">
        <f>YEAR(Table1[[#This Row],[Order_Date]])</f>
        <v>2025</v>
      </c>
      <c r="E876" t="s">
        <v>55</v>
      </c>
      <c r="F876" t="s">
        <v>56</v>
      </c>
      <c r="G876" t="s">
        <v>57</v>
      </c>
      <c r="H876" t="s">
        <v>2116</v>
      </c>
      <c r="I876" t="s">
        <v>143</v>
      </c>
      <c r="J876" t="s">
        <v>51</v>
      </c>
      <c r="K876">
        <v>5</v>
      </c>
      <c r="L876">
        <v>67076</v>
      </c>
      <c r="M876">
        <v>41013</v>
      </c>
      <c r="N876">
        <v>26063</v>
      </c>
      <c r="O876" s="6">
        <f>Table1[[#This Row],[Profit]]/Table1[[#This Row],[Sales_Amount]]</f>
        <v>0.38855924622815913</v>
      </c>
      <c r="P876" t="s">
        <v>52</v>
      </c>
    </row>
    <row r="877" spans="1:16" x14ac:dyDescent="0.35">
      <c r="A877" t="s">
        <v>2117</v>
      </c>
      <c r="B877" t="s">
        <v>69</v>
      </c>
      <c r="C877" t="str">
        <f>TEXT(Table1[[#This Row],[Order_Date]],"mmm")</f>
        <v>Feb</v>
      </c>
      <c r="D877">
        <f>YEAR(Table1[[#This Row],[Order_Date]])</f>
        <v>2025</v>
      </c>
      <c r="E877" t="s">
        <v>46</v>
      </c>
      <c r="F877" t="s">
        <v>47</v>
      </c>
      <c r="G877" t="s">
        <v>138</v>
      </c>
      <c r="H877" t="s">
        <v>2118</v>
      </c>
      <c r="I877" t="s">
        <v>50</v>
      </c>
      <c r="J877" t="s">
        <v>51</v>
      </c>
      <c r="K877">
        <v>25</v>
      </c>
      <c r="L877">
        <v>66681</v>
      </c>
      <c r="M877">
        <v>35837</v>
      </c>
      <c r="N877">
        <v>30844</v>
      </c>
      <c r="O877" s="6">
        <f>Table1[[#This Row],[Profit]]/Table1[[#This Row],[Sales_Amount]]</f>
        <v>0.46256054948186143</v>
      </c>
      <c r="P877" t="s">
        <v>60</v>
      </c>
    </row>
    <row r="878" spans="1:16" x14ac:dyDescent="0.35">
      <c r="A878" t="s">
        <v>2119</v>
      </c>
      <c r="B878" t="s">
        <v>542</v>
      </c>
      <c r="C878" t="str">
        <f>TEXT(Table1[[#This Row],[Order_Date]],"mmm")</f>
        <v>Jul</v>
      </c>
      <c r="D878">
        <f>YEAR(Table1[[#This Row],[Order_Date]])</f>
        <v>2025</v>
      </c>
      <c r="E878" t="s">
        <v>46</v>
      </c>
      <c r="F878" t="s">
        <v>74</v>
      </c>
      <c r="G878" t="s">
        <v>138</v>
      </c>
      <c r="H878" t="s">
        <v>2120</v>
      </c>
      <c r="I878" t="s">
        <v>87</v>
      </c>
      <c r="J878" t="s">
        <v>88</v>
      </c>
      <c r="K878">
        <v>12</v>
      </c>
      <c r="L878">
        <v>92191</v>
      </c>
      <c r="M878">
        <v>75705</v>
      </c>
      <c r="N878">
        <v>16486</v>
      </c>
      <c r="O878" s="6">
        <f>Table1[[#This Row],[Profit]]/Table1[[#This Row],[Sales_Amount]]</f>
        <v>0.17882439717542928</v>
      </c>
      <c r="P878" t="s">
        <v>121</v>
      </c>
    </row>
    <row r="879" spans="1:16" x14ac:dyDescent="0.35">
      <c r="A879" t="s">
        <v>2121</v>
      </c>
      <c r="B879" t="s">
        <v>73</v>
      </c>
      <c r="C879" t="str">
        <f>TEXT(Table1[[#This Row],[Order_Date]],"mmm")</f>
        <v>Feb</v>
      </c>
      <c r="D879">
        <f>YEAR(Table1[[#This Row],[Order_Date]])</f>
        <v>2025</v>
      </c>
      <c r="E879" t="s">
        <v>63</v>
      </c>
      <c r="F879" t="s">
        <v>104</v>
      </c>
      <c r="G879" t="s">
        <v>80</v>
      </c>
      <c r="H879" t="s">
        <v>2122</v>
      </c>
      <c r="I879" t="s">
        <v>87</v>
      </c>
      <c r="J879" t="s">
        <v>88</v>
      </c>
      <c r="K879">
        <v>7</v>
      </c>
      <c r="L879">
        <v>38970</v>
      </c>
      <c r="M879">
        <v>22498</v>
      </c>
      <c r="N879">
        <v>16472</v>
      </c>
      <c r="O879" s="6">
        <f>Table1[[#This Row],[Profit]]/Table1[[#This Row],[Sales_Amount]]</f>
        <v>0.42268411598665639</v>
      </c>
      <c r="P879" t="s">
        <v>52</v>
      </c>
    </row>
    <row r="880" spans="1:16" x14ac:dyDescent="0.35">
      <c r="A880" t="s">
        <v>2123</v>
      </c>
      <c r="B880" t="s">
        <v>1159</v>
      </c>
      <c r="C880" t="str">
        <f>TEXT(Table1[[#This Row],[Order_Date]],"mmm")</f>
        <v>Jul</v>
      </c>
      <c r="D880">
        <f>YEAR(Table1[[#This Row],[Order_Date]])</f>
        <v>2025</v>
      </c>
      <c r="E880" t="s">
        <v>55</v>
      </c>
      <c r="F880" t="s">
        <v>56</v>
      </c>
      <c r="G880" t="s">
        <v>138</v>
      </c>
      <c r="H880" t="s">
        <v>2124</v>
      </c>
      <c r="I880" t="s">
        <v>76</v>
      </c>
      <c r="J880" t="s">
        <v>77</v>
      </c>
      <c r="K880">
        <v>10</v>
      </c>
      <c r="L880">
        <v>101375</v>
      </c>
      <c r="M880">
        <v>77749</v>
      </c>
      <c r="N880">
        <v>23626</v>
      </c>
      <c r="O880" s="6">
        <f>Table1[[#This Row],[Profit]]/Table1[[#This Row],[Sales_Amount]]</f>
        <v>0.23305548705302095</v>
      </c>
      <c r="P880" t="s">
        <v>98</v>
      </c>
    </row>
    <row r="881" spans="1:16" x14ac:dyDescent="0.35">
      <c r="A881" t="s">
        <v>2125</v>
      </c>
      <c r="B881" t="s">
        <v>1417</v>
      </c>
      <c r="C881" t="str">
        <f>TEXT(Table1[[#This Row],[Order_Date]],"mmm")</f>
        <v>Jun</v>
      </c>
      <c r="D881">
        <f>YEAR(Table1[[#This Row],[Order_Date]])</f>
        <v>2025</v>
      </c>
      <c r="E881" t="s">
        <v>63</v>
      </c>
      <c r="F881" t="s">
        <v>104</v>
      </c>
      <c r="G881" t="s">
        <v>116</v>
      </c>
      <c r="H881" t="s">
        <v>2126</v>
      </c>
      <c r="I881" t="s">
        <v>156</v>
      </c>
      <c r="J881" t="s">
        <v>157</v>
      </c>
      <c r="K881">
        <v>18</v>
      </c>
      <c r="L881">
        <v>25167</v>
      </c>
      <c r="M881">
        <v>14448</v>
      </c>
      <c r="N881">
        <v>10719</v>
      </c>
      <c r="O881" s="6">
        <f>Table1[[#This Row],[Profit]]/Table1[[#This Row],[Sales_Amount]]</f>
        <v>0.42591488854452259</v>
      </c>
      <c r="P881" t="s">
        <v>121</v>
      </c>
    </row>
    <row r="882" spans="1:16" x14ac:dyDescent="0.35">
      <c r="A882" t="s">
        <v>2127</v>
      </c>
      <c r="B882" t="s">
        <v>610</v>
      </c>
      <c r="C882" t="str">
        <f>TEXT(Table1[[#This Row],[Order_Date]],"mmm")</f>
        <v>Feb</v>
      </c>
      <c r="D882">
        <f>YEAR(Table1[[#This Row],[Order_Date]])</f>
        <v>2025</v>
      </c>
      <c r="E882" t="s">
        <v>55</v>
      </c>
      <c r="F882" t="s">
        <v>56</v>
      </c>
      <c r="G882" t="s">
        <v>57</v>
      </c>
      <c r="H882" t="s">
        <v>2128</v>
      </c>
      <c r="I882" t="s">
        <v>143</v>
      </c>
      <c r="J882" t="s">
        <v>51</v>
      </c>
      <c r="K882">
        <v>8</v>
      </c>
      <c r="L882">
        <v>68498</v>
      </c>
      <c r="M882">
        <v>33312</v>
      </c>
      <c r="N882">
        <v>35186</v>
      </c>
      <c r="O882" s="6">
        <f>Table1[[#This Row],[Profit]]/Table1[[#This Row],[Sales_Amount]]</f>
        <v>0.51367923151040906</v>
      </c>
      <c r="P882" t="s">
        <v>121</v>
      </c>
    </row>
    <row r="883" spans="1:16" x14ac:dyDescent="0.35">
      <c r="A883" t="s">
        <v>2129</v>
      </c>
      <c r="B883" t="s">
        <v>1764</v>
      </c>
      <c r="C883" t="str">
        <f>TEXT(Table1[[#This Row],[Order_Date]],"mmm")</f>
        <v>Nov</v>
      </c>
      <c r="D883">
        <f>YEAR(Table1[[#This Row],[Order_Date]])</f>
        <v>2025</v>
      </c>
      <c r="E883" t="s">
        <v>46</v>
      </c>
      <c r="F883" t="s">
        <v>74</v>
      </c>
      <c r="G883" t="s">
        <v>80</v>
      </c>
      <c r="H883" t="s">
        <v>2130</v>
      </c>
      <c r="I883" t="s">
        <v>76</v>
      </c>
      <c r="J883" t="s">
        <v>77</v>
      </c>
      <c r="K883">
        <v>24</v>
      </c>
      <c r="L883">
        <v>57305</v>
      </c>
      <c r="M883">
        <v>35577</v>
      </c>
      <c r="N883">
        <v>21728</v>
      </c>
      <c r="O883" s="6">
        <f>Table1[[#This Row],[Profit]]/Table1[[#This Row],[Sales_Amount]]</f>
        <v>0.37916412180438008</v>
      </c>
      <c r="P883" t="s">
        <v>52</v>
      </c>
    </row>
    <row r="884" spans="1:16" x14ac:dyDescent="0.35">
      <c r="A884" t="s">
        <v>2131</v>
      </c>
      <c r="B884" t="s">
        <v>1127</v>
      </c>
      <c r="C884" t="str">
        <f>TEXT(Table1[[#This Row],[Order_Date]],"mmm")</f>
        <v>Nov</v>
      </c>
      <c r="D884">
        <f>YEAR(Table1[[#This Row],[Order_Date]])</f>
        <v>2025</v>
      </c>
      <c r="E884" t="s">
        <v>46</v>
      </c>
      <c r="F884" t="s">
        <v>74</v>
      </c>
      <c r="G884" t="s">
        <v>80</v>
      </c>
      <c r="H884" t="s">
        <v>2132</v>
      </c>
      <c r="I884" t="s">
        <v>76</v>
      </c>
      <c r="J884" t="s">
        <v>77</v>
      </c>
      <c r="K884">
        <v>2</v>
      </c>
      <c r="L884">
        <v>85279</v>
      </c>
      <c r="M884">
        <v>53715</v>
      </c>
      <c r="N884">
        <v>31564</v>
      </c>
      <c r="O884" s="6">
        <f>Table1[[#This Row],[Profit]]/Table1[[#This Row],[Sales_Amount]]</f>
        <v>0.37012629134957026</v>
      </c>
      <c r="P884" t="s">
        <v>121</v>
      </c>
    </row>
    <row r="885" spans="1:16" x14ac:dyDescent="0.35">
      <c r="A885" t="s">
        <v>2133</v>
      </c>
      <c r="B885" t="s">
        <v>1385</v>
      </c>
      <c r="C885" t="str">
        <f>TEXT(Table1[[#This Row],[Order_Date]],"mmm")</f>
        <v>Aug</v>
      </c>
      <c r="D885">
        <f>YEAR(Table1[[#This Row],[Order_Date]])</f>
        <v>2025</v>
      </c>
      <c r="E885" t="s">
        <v>46</v>
      </c>
      <c r="F885" t="s">
        <v>47</v>
      </c>
      <c r="G885" t="s">
        <v>65</v>
      </c>
      <c r="H885" t="s">
        <v>2134</v>
      </c>
      <c r="I885" t="s">
        <v>156</v>
      </c>
      <c r="J885" t="s">
        <v>157</v>
      </c>
      <c r="K885">
        <v>25</v>
      </c>
      <c r="L885">
        <v>69529</v>
      </c>
      <c r="M885">
        <v>34360</v>
      </c>
      <c r="N885">
        <v>35169</v>
      </c>
      <c r="O885" s="6">
        <f>Table1[[#This Row],[Profit]]/Table1[[#This Row],[Sales_Amount]]</f>
        <v>0.50581771634857398</v>
      </c>
      <c r="P885" t="s">
        <v>60</v>
      </c>
    </row>
    <row r="886" spans="1:16" x14ac:dyDescent="0.35">
      <c r="A886" t="s">
        <v>2135</v>
      </c>
      <c r="B886" t="s">
        <v>363</v>
      </c>
      <c r="C886" t="str">
        <f>TEXT(Table1[[#This Row],[Order_Date]],"mmm")</f>
        <v>Dec</v>
      </c>
      <c r="D886">
        <f>YEAR(Table1[[#This Row],[Order_Date]])</f>
        <v>2025</v>
      </c>
      <c r="E886" t="s">
        <v>55</v>
      </c>
      <c r="F886" t="s">
        <v>56</v>
      </c>
      <c r="G886" t="s">
        <v>80</v>
      </c>
      <c r="H886" t="s">
        <v>2136</v>
      </c>
      <c r="I886" t="s">
        <v>76</v>
      </c>
      <c r="J886" t="s">
        <v>77</v>
      </c>
      <c r="K886">
        <v>16</v>
      </c>
      <c r="L886">
        <v>59527</v>
      </c>
      <c r="M886">
        <v>47241</v>
      </c>
      <c r="N886">
        <v>12286</v>
      </c>
      <c r="O886" s="6">
        <f>Table1[[#This Row],[Profit]]/Table1[[#This Row],[Sales_Amount]]</f>
        <v>0.20639373729568095</v>
      </c>
      <c r="P886" t="s">
        <v>98</v>
      </c>
    </row>
    <row r="887" spans="1:16" x14ac:dyDescent="0.35">
      <c r="A887" t="s">
        <v>2137</v>
      </c>
      <c r="B887" t="s">
        <v>1084</v>
      </c>
      <c r="C887" t="str">
        <f>TEXT(Table1[[#This Row],[Order_Date]],"mmm")</f>
        <v>Oct</v>
      </c>
      <c r="D887">
        <f>YEAR(Table1[[#This Row],[Order_Date]])</f>
        <v>2025</v>
      </c>
      <c r="E887" t="s">
        <v>46</v>
      </c>
      <c r="F887" t="s">
        <v>47</v>
      </c>
      <c r="G887" t="s">
        <v>70</v>
      </c>
      <c r="H887" t="s">
        <v>2138</v>
      </c>
      <c r="I887" t="s">
        <v>67</v>
      </c>
      <c r="J887" t="s">
        <v>51</v>
      </c>
      <c r="K887">
        <v>13</v>
      </c>
      <c r="L887">
        <v>7262</v>
      </c>
      <c r="M887">
        <v>5886</v>
      </c>
      <c r="N887">
        <v>1376</v>
      </c>
      <c r="O887" s="6">
        <f>Table1[[#This Row],[Profit]]/Table1[[#This Row],[Sales_Amount]]</f>
        <v>0.18947948223629854</v>
      </c>
      <c r="P887" t="s">
        <v>60</v>
      </c>
    </row>
    <row r="888" spans="1:16" x14ac:dyDescent="0.35">
      <c r="A888" t="s">
        <v>2139</v>
      </c>
      <c r="B888" t="s">
        <v>843</v>
      </c>
      <c r="C888" t="str">
        <f>TEXT(Table1[[#This Row],[Order_Date]],"mmm")</f>
        <v>Mar</v>
      </c>
      <c r="D888">
        <f>YEAR(Table1[[#This Row],[Order_Date]])</f>
        <v>2025</v>
      </c>
      <c r="E888" t="s">
        <v>63</v>
      </c>
      <c r="F888" t="s">
        <v>64</v>
      </c>
      <c r="G888" t="s">
        <v>70</v>
      </c>
      <c r="H888" t="s">
        <v>2140</v>
      </c>
      <c r="I888" t="s">
        <v>156</v>
      </c>
      <c r="J888" t="s">
        <v>157</v>
      </c>
      <c r="K888">
        <v>5</v>
      </c>
      <c r="L888">
        <v>48641</v>
      </c>
      <c r="M888">
        <v>25749</v>
      </c>
      <c r="N888">
        <v>22892</v>
      </c>
      <c r="O888" s="6">
        <f>Table1[[#This Row],[Profit]]/Table1[[#This Row],[Sales_Amount]]</f>
        <v>0.47063177155074937</v>
      </c>
      <c r="P888" t="s">
        <v>60</v>
      </c>
    </row>
    <row r="889" spans="1:16" x14ac:dyDescent="0.35">
      <c r="A889" t="s">
        <v>2141</v>
      </c>
      <c r="B889" t="s">
        <v>1171</v>
      </c>
      <c r="C889" t="str">
        <f>TEXT(Table1[[#This Row],[Order_Date]],"mmm")</f>
        <v>Dec</v>
      </c>
      <c r="D889">
        <f>YEAR(Table1[[#This Row],[Order_Date]])</f>
        <v>2025</v>
      </c>
      <c r="E889" t="s">
        <v>63</v>
      </c>
      <c r="F889" t="s">
        <v>64</v>
      </c>
      <c r="G889" t="s">
        <v>70</v>
      </c>
      <c r="H889" t="s">
        <v>2142</v>
      </c>
      <c r="I889" t="s">
        <v>59</v>
      </c>
      <c r="J889" t="s">
        <v>51</v>
      </c>
      <c r="K889">
        <v>21</v>
      </c>
      <c r="L889">
        <v>76699</v>
      </c>
      <c r="M889">
        <v>48491</v>
      </c>
      <c r="N889">
        <v>28208</v>
      </c>
      <c r="O889" s="6">
        <f>Table1[[#This Row],[Profit]]/Table1[[#This Row],[Sales_Amount]]</f>
        <v>0.36777532953493525</v>
      </c>
      <c r="P889" t="s">
        <v>52</v>
      </c>
    </row>
    <row r="890" spans="1:16" x14ac:dyDescent="0.35">
      <c r="A890" t="s">
        <v>2143</v>
      </c>
      <c r="B890" t="s">
        <v>2144</v>
      </c>
      <c r="C890" t="str">
        <f>TEXT(Table1[[#This Row],[Order_Date]],"mmm")</f>
        <v>Nov</v>
      </c>
      <c r="D890">
        <f>YEAR(Table1[[#This Row],[Order_Date]])</f>
        <v>2025</v>
      </c>
      <c r="E890" t="s">
        <v>46</v>
      </c>
      <c r="F890" t="s">
        <v>47</v>
      </c>
      <c r="G890" t="s">
        <v>70</v>
      </c>
      <c r="H890" t="s">
        <v>2145</v>
      </c>
      <c r="I890" t="s">
        <v>59</v>
      </c>
      <c r="J890" t="s">
        <v>51</v>
      </c>
      <c r="K890">
        <v>3</v>
      </c>
      <c r="L890">
        <v>25116</v>
      </c>
      <c r="M890">
        <v>20034</v>
      </c>
      <c r="N890">
        <v>5082</v>
      </c>
      <c r="O890" s="6">
        <f>Table1[[#This Row],[Profit]]/Table1[[#This Row],[Sales_Amount]]</f>
        <v>0.20234113712374582</v>
      </c>
      <c r="P890" t="s">
        <v>121</v>
      </c>
    </row>
    <row r="891" spans="1:16" x14ac:dyDescent="0.35">
      <c r="A891" t="s">
        <v>2146</v>
      </c>
      <c r="B891" t="s">
        <v>577</v>
      </c>
      <c r="C891" t="str">
        <f>TEXT(Table1[[#This Row],[Order_Date]],"mmm")</f>
        <v>Oct</v>
      </c>
      <c r="D891">
        <f>YEAR(Table1[[#This Row],[Order_Date]])</f>
        <v>2025</v>
      </c>
      <c r="E891" t="s">
        <v>55</v>
      </c>
      <c r="F891" t="s">
        <v>56</v>
      </c>
      <c r="G891" t="s">
        <v>116</v>
      </c>
      <c r="H891" t="s">
        <v>2147</v>
      </c>
      <c r="I891" t="s">
        <v>156</v>
      </c>
      <c r="J891" t="s">
        <v>157</v>
      </c>
      <c r="K891">
        <v>13</v>
      </c>
      <c r="L891">
        <v>47042</v>
      </c>
      <c r="M891">
        <v>29367</v>
      </c>
      <c r="N891">
        <v>17675</v>
      </c>
      <c r="O891" s="6">
        <f>Table1[[#This Row],[Profit]]/Table1[[#This Row],[Sales_Amount]]</f>
        <v>0.37572807278602099</v>
      </c>
      <c r="P891" t="s">
        <v>98</v>
      </c>
    </row>
    <row r="892" spans="1:16" x14ac:dyDescent="0.35">
      <c r="A892" t="s">
        <v>2148</v>
      </c>
      <c r="B892" t="s">
        <v>577</v>
      </c>
      <c r="C892" t="str">
        <f>TEXT(Table1[[#This Row],[Order_Date]],"mmm")</f>
        <v>Oct</v>
      </c>
      <c r="D892">
        <f>YEAR(Table1[[#This Row],[Order_Date]])</f>
        <v>2025</v>
      </c>
      <c r="E892" t="s">
        <v>55</v>
      </c>
      <c r="F892" t="s">
        <v>188</v>
      </c>
      <c r="G892" t="s">
        <v>80</v>
      </c>
      <c r="H892" t="s">
        <v>2149</v>
      </c>
      <c r="I892" t="s">
        <v>82</v>
      </c>
      <c r="J892" t="s">
        <v>83</v>
      </c>
      <c r="K892">
        <v>17</v>
      </c>
      <c r="L892">
        <v>28122</v>
      </c>
      <c r="M892">
        <v>18700</v>
      </c>
      <c r="N892">
        <v>9422</v>
      </c>
      <c r="O892" s="6">
        <f>Table1[[#This Row],[Profit]]/Table1[[#This Row],[Sales_Amount]]</f>
        <v>0.3350401820638646</v>
      </c>
      <c r="P892" t="s">
        <v>98</v>
      </c>
    </row>
    <row r="893" spans="1:16" x14ac:dyDescent="0.35">
      <c r="A893" t="s">
        <v>2150</v>
      </c>
      <c r="B893" t="s">
        <v>1312</v>
      </c>
      <c r="C893" t="str">
        <f>TEXT(Table1[[#This Row],[Order_Date]],"mmm")</f>
        <v>Sep</v>
      </c>
      <c r="D893">
        <f>YEAR(Table1[[#This Row],[Order_Date]])</f>
        <v>2025</v>
      </c>
      <c r="E893" t="s">
        <v>111</v>
      </c>
      <c r="F893" t="s">
        <v>112</v>
      </c>
      <c r="G893" t="s">
        <v>128</v>
      </c>
      <c r="H893" t="s">
        <v>2151</v>
      </c>
      <c r="I893" t="s">
        <v>125</v>
      </c>
      <c r="J893" t="s">
        <v>83</v>
      </c>
      <c r="K893">
        <v>6</v>
      </c>
      <c r="L893">
        <v>77204</v>
      </c>
      <c r="M893">
        <v>44551</v>
      </c>
      <c r="N893">
        <v>32653</v>
      </c>
      <c r="O893" s="6">
        <f>Table1[[#This Row],[Profit]]/Table1[[#This Row],[Sales_Amount]]</f>
        <v>0.4229444070255427</v>
      </c>
      <c r="P893" t="s">
        <v>121</v>
      </c>
    </row>
    <row r="894" spans="1:16" x14ac:dyDescent="0.35">
      <c r="A894" t="s">
        <v>2152</v>
      </c>
      <c r="B894" t="s">
        <v>1837</v>
      </c>
      <c r="C894" t="str">
        <f>TEXT(Table1[[#This Row],[Order_Date]],"mmm")</f>
        <v>Mar</v>
      </c>
      <c r="D894">
        <f>YEAR(Table1[[#This Row],[Order_Date]])</f>
        <v>2025</v>
      </c>
      <c r="E894" t="s">
        <v>55</v>
      </c>
      <c r="F894" t="s">
        <v>56</v>
      </c>
      <c r="G894" t="s">
        <v>48</v>
      </c>
      <c r="H894" t="s">
        <v>2153</v>
      </c>
      <c r="I894" t="s">
        <v>67</v>
      </c>
      <c r="J894" t="s">
        <v>51</v>
      </c>
      <c r="K894">
        <v>17</v>
      </c>
      <c r="L894">
        <v>8427</v>
      </c>
      <c r="M894">
        <v>5650</v>
      </c>
      <c r="N894">
        <v>2777</v>
      </c>
      <c r="O894" s="6">
        <f>Table1[[#This Row],[Profit]]/Table1[[#This Row],[Sales_Amount]]</f>
        <v>0.32953601518927256</v>
      </c>
      <c r="P894" t="s">
        <v>121</v>
      </c>
    </row>
    <row r="895" spans="1:16" x14ac:dyDescent="0.35">
      <c r="A895" t="s">
        <v>2154</v>
      </c>
      <c r="B895" t="s">
        <v>293</v>
      </c>
      <c r="C895" t="str">
        <f>TEXT(Table1[[#This Row],[Order_Date]],"mmm")</f>
        <v>Sep</v>
      </c>
      <c r="D895">
        <f>YEAR(Table1[[#This Row],[Order_Date]])</f>
        <v>2025</v>
      </c>
      <c r="E895" t="s">
        <v>63</v>
      </c>
      <c r="F895" t="s">
        <v>104</v>
      </c>
      <c r="G895" t="s">
        <v>65</v>
      </c>
      <c r="H895" t="s">
        <v>2155</v>
      </c>
      <c r="I895" t="s">
        <v>50</v>
      </c>
      <c r="J895" t="s">
        <v>51</v>
      </c>
      <c r="K895">
        <v>14</v>
      </c>
      <c r="L895">
        <v>46492</v>
      </c>
      <c r="M895">
        <v>22892</v>
      </c>
      <c r="N895">
        <v>23600</v>
      </c>
      <c r="O895" s="6">
        <f>Table1[[#This Row],[Profit]]/Table1[[#This Row],[Sales_Amount]]</f>
        <v>0.50761421319796951</v>
      </c>
      <c r="P895" t="s">
        <v>121</v>
      </c>
    </row>
    <row r="896" spans="1:16" x14ac:dyDescent="0.35">
      <c r="A896" t="s">
        <v>2156</v>
      </c>
      <c r="B896" t="s">
        <v>1029</v>
      </c>
      <c r="C896" t="str">
        <f>TEXT(Table1[[#This Row],[Order_Date]],"mmm")</f>
        <v>Jun</v>
      </c>
      <c r="D896">
        <f>YEAR(Table1[[#This Row],[Order_Date]])</f>
        <v>2025</v>
      </c>
      <c r="E896" t="s">
        <v>111</v>
      </c>
      <c r="F896" t="s">
        <v>112</v>
      </c>
      <c r="G896" t="s">
        <v>70</v>
      </c>
      <c r="H896" t="s">
        <v>2157</v>
      </c>
      <c r="I896" t="s">
        <v>125</v>
      </c>
      <c r="J896" t="s">
        <v>83</v>
      </c>
      <c r="K896">
        <v>11</v>
      </c>
      <c r="L896">
        <v>33057</v>
      </c>
      <c r="M896">
        <v>18599</v>
      </c>
      <c r="N896">
        <v>14458</v>
      </c>
      <c r="O896" s="6">
        <f>Table1[[#This Row],[Profit]]/Table1[[#This Row],[Sales_Amount]]</f>
        <v>0.43736576216837586</v>
      </c>
      <c r="P896" t="s">
        <v>52</v>
      </c>
    </row>
    <row r="897" spans="1:16" x14ac:dyDescent="0.35">
      <c r="A897" t="s">
        <v>2158</v>
      </c>
      <c r="B897" t="s">
        <v>904</v>
      </c>
      <c r="C897" t="str">
        <f>TEXT(Table1[[#This Row],[Order_Date]],"mmm")</f>
        <v>Nov</v>
      </c>
      <c r="D897">
        <f>YEAR(Table1[[#This Row],[Order_Date]])</f>
        <v>2025</v>
      </c>
      <c r="E897" t="s">
        <v>111</v>
      </c>
      <c r="F897" t="s">
        <v>112</v>
      </c>
      <c r="G897" t="s">
        <v>128</v>
      </c>
      <c r="H897" t="s">
        <v>2159</v>
      </c>
      <c r="I897" t="s">
        <v>87</v>
      </c>
      <c r="J897" t="s">
        <v>88</v>
      </c>
      <c r="K897">
        <v>3</v>
      </c>
      <c r="L897">
        <v>111266</v>
      </c>
      <c r="M897">
        <v>73442</v>
      </c>
      <c r="N897">
        <v>37824</v>
      </c>
      <c r="O897" s="6">
        <f>Table1[[#This Row],[Profit]]/Table1[[#This Row],[Sales_Amount]]</f>
        <v>0.33994212068376684</v>
      </c>
      <c r="P897" t="s">
        <v>60</v>
      </c>
    </row>
    <row r="898" spans="1:16" x14ac:dyDescent="0.35">
      <c r="A898" t="s">
        <v>2160</v>
      </c>
      <c r="B898" t="s">
        <v>1813</v>
      </c>
      <c r="C898" t="str">
        <f>TEXT(Table1[[#This Row],[Order_Date]],"mmm")</f>
        <v>Nov</v>
      </c>
      <c r="D898">
        <f>YEAR(Table1[[#This Row],[Order_Date]])</f>
        <v>2025</v>
      </c>
      <c r="E898" t="s">
        <v>63</v>
      </c>
      <c r="F898" t="s">
        <v>104</v>
      </c>
      <c r="G898" t="s">
        <v>65</v>
      </c>
      <c r="H898" t="s">
        <v>2161</v>
      </c>
      <c r="I898" t="s">
        <v>156</v>
      </c>
      <c r="J898" t="s">
        <v>157</v>
      </c>
      <c r="K898">
        <v>4</v>
      </c>
      <c r="L898">
        <v>54020</v>
      </c>
      <c r="M898">
        <v>34478</v>
      </c>
      <c r="N898">
        <v>19542</v>
      </c>
      <c r="O898" s="6">
        <f>Table1[[#This Row],[Profit]]/Table1[[#This Row],[Sales_Amount]]</f>
        <v>0.36175490559052204</v>
      </c>
      <c r="P898" t="s">
        <v>52</v>
      </c>
    </row>
    <row r="899" spans="1:16" x14ac:dyDescent="0.35">
      <c r="A899" t="s">
        <v>2162</v>
      </c>
      <c r="B899" t="s">
        <v>1039</v>
      </c>
      <c r="C899" t="str">
        <f>TEXT(Table1[[#This Row],[Order_Date]],"mmm")</f>
        <v>May</v>
      </c>
      <c r="D899">
        <f>YEAR(Table1[[#This Row],[Order_Date]])</f>
        <v>2025</v>
      </c>
      <c r="E899" t="s">
        <v>111</v>
      </c>
      <c r="F899" t="s">
        <v>112</v>
      </c>
      <c r="G899" t="s">
        <v>138</v>
      </c>
      <c r="H899" t="s">
        <v>2163</v>
      </c>
      <c r="I899" t="s">
        <v>82</v>
      </c>
      <c r="J899" t="s">
        <v>83</v>
      </c>
      <c r="K899">
        <v>22</v>
      </c>
      <c r="L899">
        <v>61863</v>
      </c>
      <c r="M899">
        <v>48059</v>
      </c>
      <c r="N899">
        <v>13804</v>
      </c>
      <c r="O899" s="6">
        <f>Table1[[#This Row],[Profit]]/Table1[[#This Row],[Sales_Amount]]</f>
        <v>0.22313822478702941</v>
      </c>
      <c r="P899" t="s">
        <v>52</v>
      </c>
    </row>
    <row r="900" spans="1:16" x14ac:dyDescent="0.35">
      <c r="A900" t="s">
        <v>2164</v>
      </c>
      <c r="B900" t="s">
        <v>313</v>
      </c>
      <c r="C900" t="str">
        <f>TEXT(Table1[[#This Row],[Order_Date]],"mmm")</f>
        <v>Mar</v>
      </c>
      <c r="D900">
        <f>YEAR(Table1[[#This Row],[Order_Date]])</f>
        <v>2025</v>
      </c>
      <c r="E900" t="s">
        <v>111</v>
      </c>
      <c r="F900" t="s">
        <v>112</v>
      </c>
      <c r="G900" t="s">
        <v>48</v>
      </c>
      <c r="H900" t="s">
        <v>2165</v>
      </c>
      <c r="I900" t="s">
        <v>82</v>
      </c>
      <c r="J900" t="s">
        <v>83</v>
      </c>
      <c r="K900">
        <v>16</v>
      </c>
      <c r="L900">
        <v>27489</v>
      </c>
      <c r="M900">
        <v>15597</v>
      </c>
      <c r="N900">
        <v>11892</v>
      </c>
      <c r="O900" s="6">
        <f>Table1[[#This Row],[Profit]]/Table1[[#This Row],[Sales_Amount]]</f>
        <v>0.43260940739932335</v>
      </c>
      <c r="P900" t="s">
        <v>121</v>
      </c>
    </row>
    <row r="901" spans="1:16" x14ac:dyDescent="0.35">
      <c r="A901" t="s">
        <v>2166</v>
      </c>
      <c r="B901" t="s">
        <v>376</v>
      </c>
      <c r="C901" t="str">
        <f>TEXT(Table1[[#This Row],[Order_Date]],"mmm")</f>
        <v>Dec</v>
      </c>
      <c r="D901">
        <f>YEAR(Table1[[#This Row],[Order_Date]])</f>
        <v>2025</v>
      </c>
      <c r="E901" t="s">
        <v>55</v>
      </c>
      <c r="F901" t="s">
        <v>188</v>
      </c>
      <c r="G901" t="s">
        <v>48</v>
      </c>
      <c r="H901" t="s">
        <v>2167</v>
      </c>
      <c r="I901" t="s">
        <v>50</v>
      </c>
      <c r="J901" t="s">
        <v>51</v>
      </c>
      <c r="K901">
        <v>25</v>
      </c>
      <c r="L901">
        <v>71946</v>
      </c>
      <c r="M901">
        <v>38192</v>
      </c>
      <c r="N901">
        <v>33754</v>
      </c>
      <c r="O901" s="6">
        <f>Table1[[#This Row],[Profit]]/Table1[[#This Row],[Sales_Amount]]</f>
        <v>0.46915742362327301</v>
      </c>
      <c r="P901" t="s">
        <v>98</v>
      </c>
    </row>
    <row r="902" spans="1:16" x14ac:dyDescent="0.35">
      <c r="A902" t="s">
        <v>2168</v>
      </c>
      <c r="B902" t="s">
        <v>379</v>
      </c>
      <c r="C902" t="str">
        <f>TEXT(Table1[[#This Row],[Order_Date]],"mmm")</f>
        <v>Aug</v>
      </c>
      <c r="D902">
        <f>YEAR(Table1[[#This Row],[Order_Date]])</f>
        <v>2025</v>
      </c>
      <c r="E902" t="s">
        <v>46</v>
      </c>
      <c r="F902" t="s">
        <v>74</v>
      </c>
      <c r="G902" t="s">
        <v>138</v>
      </c>
      <c r="H902" t="s">
        <v>2169</v>
      </c>
      <c r="I902" t="s">
        <v>143</v>
      </c>
      <c r="J902" t="s">
        <v>51</v>
      </c>
      <c r="K902">
        <v>3</v>
      </c>
      <c r="L902">
        <v>12591</v>
      </c>
      <c r="M902">
        <v>6364</v>
      </c>
      <c r="N902">
        <v>6227</v>
      </c>
      <c r="O902" s="6">
        <f>Table1[[#This Row],[Profit]]/Table1[[#This Row],[Sales_Amount]]</f>
        <v>0.49455960606782623</v>
      </c>
      <c r="P902" t="s">
        <v>60</v>
      </c>
    </row>
    <row r="903" spans="1:16" x14ac:dyDescent="0.35">
      <c r="A903" t="s">
        <v>2170</v>
      </c>
      <c r="B903" t="s">
        <v>518</v>
      </c>
      <c r="C903" t="str">
        <f>TEXT(Table1[[#This Row],[Order_Date]],"mmm")</f>
        <v>Nov</v>
      </c>
      <c r="D903">
        <f>YEAR(Table1[[#This Row],[Order_Date]])</f>
        <v>2025</v>
      </c>
      <c r="E903" t="s">
        <v>63</v>
      </c>
      <c r="F903" t="s">
        <v>104</v>
      </c>
      <c r="G903" t="s">
        <v>128</v>
      </c>
      <c r="H903" t="s">
        <v>2171</v>
      </c>
      <c r="I903" t="s">
        <v>50</v>
      </c>
      <c r="J903" t="s">
        <v>51</v>
      </c>
      <c r="K903">
        <v>21</v>
      </c>
      <c r="L903">
        <v>52197</v>
      </c>
      <c r="M903">
        <v>33731</v>
      </c>
      <c r="N903">
        <v>18466</v>
      </c>
      <c r="O903" s="6">
        <f>Table1[[#This Row],[Profit]]/Table1[[#This Row],[Sales_Amount]]</f>
        <v>0.35377512117554649</v>
      </c>
      <c r="P903" t="s">
        <v>52</v>
      </c>
    </row>
    <row r="904" spans="1:16" x14ac:dyDescent="0.35">
      <c r="A904" t="s">
        <v>2172</v>
      </c>
      <c r="B904" t="s">
        <v>348</v>
      </c>
      <c r="C904" t="str">
        <f>TEXT(Table1[[#This Row],[Order_Date]],"mmm")</f>
        <v>Feb</v>
      </c>
      <c r="D904">
        <f>YEAR(Table1[[#This Row],[Order_Date]])</f>
        <v>2025</v>
      </c>
      <c r="E904" t="s">
        <v>55</v>
      </c>
      <c r="F904" t="s">
        <v>56</v>
      </c>
      <c r="G904" t="s">
        <v>65</v>
      </c>
      <c r="H904" t="s">
        <v>2173</v>
      </c>
      <c r="I904" t="s">
        <v>50</v>
      </c>
      <c r="J904" t="s">
        <v>51</v>
      </c>
      <c r="K904">
        <v>4</v>
      </c>
      <c r="L904">
        <v>25083</v>
      </c>
      <c r="M904">
        <v>21159</v>
      </c>
      <c r="N904">
        <v>3924</v>
      </c>
      <c r="O904" s="6">
        <f>Table1[[#This Row],[Profit]]/Table1[[#This Row],[Sales_Amount]]</f>
        <v>0.15644061715105848</v>
      </c>
      <c r="P904" t="s">
        <v>60</v>
      </c>
    </row>
    <row r="905" spans="1:16" x14ac:dyDescent="0.35">
      <c r="A905" t="s">
        <v>2174</v>
      </c>
      <c r="B905" t="s">
        <v>1767</v>
      </c>
      <c r="C905" t="str">
        <f>TEXT(Table1[[#This Row],[Order_Date]],"mmm")</f>
        <v>Feb</v>
      </c>
      <c r="D905">
        <f>YEAR(Table1[[#This Row],[Order_Date]])</f>
        <v>2025</v>
      </c>
      <c r="E905" t="s">
        <v>46</v>
      </c>
      <c r="F905" t="s">
        <v>47</v>
      </c>
      <c r="G905" t="s">
        <v>65</v>
      </c>
      <c r="H905" t="s">
        <v>2175</v>
      </c>
      <c r="I905" t="s">
        <v>87</v>
      </c>
      <c r="J905" t="s">
        <v>88</v>
      </c>
      <c r="K905">
        <v>4</v>
      </c>
      <c r="L905">
        <v>33547</v>
      </c>
      <c r="M905">
        <v>26490</v>
      </c>
      <c r="N905">
        <v>7057</v>
      </c>
      <c r="O905" s="6">
        <f>Table1[[#This Row],[Profit]]/Table1[[#This Row],[Sales_Amount]]</f>
        <v>0.21036158225772797</v>
      </c>
      <c r="P905" t="s">
        <v>60</v>
      </c>
    </row>
    <row r="906" spans="1:16" x14ac:dyDescent="0.35">
      <c r="A906" t="s">
        <v>2176</v>
      </c>
      <c r="B906" t="s">
        <v>985</v>
      </c>
      <c r="C906" t="str">
        <f>TEXT(Table1[[#This Row],[Order_Date]],"mmm")</f>
        <v>Apr</v>
      </c>
      <c r="D906">
        <f>YEAR(Table1[[#This Row],[Order_Date]])</f>
        <v>2025</v>
      </c>
      <c r="E906" t="s">
        <v>63</v>
      </c>
      <c r="F906" t="s">
        <v>104</v>
      </c>
      <c r="G906" t="s">
        <v>70</v>
      </c>
      <c r="H906" t="s">
        <v>2177</v>
      </c>
      <c r="I906" t="s">
        <v>67</v>
      </c>
      <c r="J906" t="s">
        <v>51</v>
      </c>
      <c r="K906">
        <v>15</v>
      </c>
      <c r="L906">
        <v>17428</v>
      </c>
      <c r="M906">
        <v>10248</v>
      </c>
      <c r="N906">
        <v>7180</v>
      </c>
      <c r="O906" s="6">
        <f>Table1[[#This Row],[Profit]]/Table1[[#This Row],[Sales_Amount]]</f>
        <v>0.41198072067936653</v>
      </c>
      <c r="P906" t="s">
        <v>121</v>
      </c>
    </row>
    <row r="907" spans="1:16" x14ac:dyDescent="0.35">
      <c r="A907" t="s">
        <v>2178</v>
      </c>
      <c r="B907" t="s">
        <v>497</v>
      </c>
      <c r="C907" t="str">
        <f>TEXT(Table1[[#This Row],[Order_Date]],"mmm")</f>
        <v>Mar</v>
      </c>
      <c r="D907">
        <f>YEAR(Table1[[#This Row],[Order_Date]])</f>
        <v>2025</v>
      </c>
      <c r="E907" t="s">
        <v>63</v>
      </c>
      <c r="F907" t="s">
        <v>64</v>
      </c>
      <c r="G907" t="s">
        <v>116</v>
      </c>
      <c r="H907" t="s">
        <v>2179</v>
      </c>
      <c r="I907" t="s">
        <v>50</v>
      </c>
      <c r="J907" t="s">
        <v>51</v>
      </c>
      <c r="K907">
        <v>18</v>
      </c>
      <c r="L907">
        <v>76346</v>
      </c>
      <c r="M907">
        <v>41682</v>
      </c>
      <c r="N907">
        <v>34664</v>
      </c>
      <c r="O907" s="6">
        <f>Table1[[#This Row],[Profit]]/Table1[[#This Row],[Sales_Amount]]</f>
        <v>0.45403819453540462</v>
      </c>
      <c r="P907" t="s">
        <v>121</v>
      </c>
    </row>
    <row r="908" spans="1:16" x14ac:dyDescent="0.35">
      <c r="A908" t="s">
        <v>2180</v>
      </c>
      <c r="B908" t="s">
        <v>1425</v>
      </c>
      <c r="C908" t="str">
        <f>TEXT(Table1[[#This Row],[Order_Date]],"mmm")</f>
        <v>Jan</v>
      </c>
      <c r="D908">
        <f>YEAR(Table1[[#This Row],[Order_Date]])</f>
        <v>2025</v>
      </c>
      <c r="E908" t="s">
        <v>46</v>
      </c>
      <c r="F908" t="s">
        <v>74</v>
      </c>
      <c r="G908" t="s">
        <v>70</v>
      </c>
      <c r="H908" t="s">
        <v>2181</v>
      </c>
      <c r="I908" t="s">
        <v>76</v>
      </c>
      <c r="J908" t="s">
        <v>77</v>
      </c>
      <c r="K908">
        <v>14</v>
      </c>
      <c r="L908">
        <v>41766</v>
      </c>
      <c r="M908">
        <v>25729</v>
      </c>
      <c r="N908">
        <v>16037</v>
      </c>
      <c r="O908" s="6">
        <f>Table1[[#This Row],[Profit]]/Table1[[#This Row],[Sales_Amount]]</f>
        <v>0.38397260929943017</v>
      </c>
      <c r="P908" t="s">
        <v>98</v>
      </c>
    </row>
    <row r="909" spans="1:16" x14ac:dyDescent="0.35">
      <c r="A909" t="s">
        <v>2182</v>
      </c>
      <c r="B909" t="s">
        <v>2183</v>
      </c>
      <c r="C909" t="str">
        <f>TEXT(Table1[[#This Row],[Order_Date]],"mmm")</f>
        <v>Dec</v>
      </c>
      <c r="D909">
        <f>YEAR(Table1[[#This Row],[Order_Date]])</f>
        <v>2025</v>
      </c>
      <c r="E909" t="s">
        <v>63</v>
      </c>
      <c r="F909" t="s">
        <v>104</v>
      </c>
      <c r="G909" t="s">
        <v>57</v>
      </c>
      <c r="H909" t="s">
        <v>2184</v>
      </c>
      <c r="I909" t="s">
        <v>59</v>
      </c>
      <c r="J909" t="s">
        <v>51</v>
      </c>
      <c r="K909">
        <v>14</v>
      </c>
      <c r="L909">
        <v>59805</v>
      </c>
      <c r="M909">
        <v>40164</v>
      </c>
      <c r="N909">
        <v>19641</v>
      </c>
      <c r="O909" s="6">
        <f>Table1[[#This Row],[Profit]]/Table1[[#This Row],[Sales_Amount]]</f>
        <v>0.32841735640832709</v>
      </c>
      <c r="P909" t="s">
        <v>52</v>
      </c>
    </row>
    <row r="910" spans="1:16" x14ac:dyDescent="0.35">
      <c r="A910" t="s">
        <v>2185</v>
      </c>
      <c r="B910" t="s">
        <v>1228</v>
      </c>
      <c r="C910" t="str">
        <f>TEXT(Table1[[#This Row],[Order_Date]],"mmm")</f>
        <v>Apr</v>
      </c>
      <c r="D910">
        <f>YEAR(Table1[[#This Row],[Order_Date]])</f>
        <v>2025</v>
      </c>
      <c r="E910" t="s">
        <v>55</v>
      </c>
      <c r="F910" t="s">
        <v>188</v>
      </c>
      <c r="G910" t="s">
        <v>65</v>
      </c>
      <c r="H910" t="s">
        <v>2186</v>
      </c>
      <c r="I910" t="s">
        <v>50</v>
      </c>
      <c r="J910" t="s">
        <v>51</v>
      </c>
      <c r="K910">
        <v>7</v>
      </c>
      <c r="L910">
        <v>28388</v>
      </c>
      <c r="M910">
        <v>23875</v>
      </c>
      <c r="N910">
        <v>4513</v>
      </c>
      <c r="O910" s="6">
        <f>Table1[[#This Row],[Profit]]/Table1[[#This Row],[Sales_Amount]]</f>
        <v>0.15897562350288855</v>
      </c>
      <c r="P910" t="s">
        <v>52</v>
      </c>
    </row>
    <row r="911" spans="1:16" x14ac:dyDescent="0.35">
      <c r="A911" t="s">
        <v>2187</v>
      </c>
      <c r="B911" t="s">
        <v>123</v>
      </c>
      <c r="C911" t="str">
        <f>TEXT(Table1[[#This Row],[Order_Date]],"mmm")</f>
        <v>Jul</v>
      </c>
      <c r="D911">
        <f>YEAR(Table1[[#This Row],[Order_Date]])</f>
        <v>2025</v>
      </c>
      <c r="E911" t="s">
        <v>55</v>
      </c>
      <c r="F911" t="s">
        <v>56</v>
      </c>
      <c r="G911" t="s">
        <v>128</v>
      </c>
      <c r="H911" t="s">
        <v>2188</v>
      </c>
      <c r="I911" t="s">
        <v>67</v>
      </c>
      <c r="J911" t="s">
        <v>51</v>
      </c>
      <c r="K911">
        <v>8</v>
      </c>
      <c r="L911">
        <v>99132</v>
      </c>
      <c r="M911">
        <v>57040</v>
      </c>
      <c r="N911">
        <v>42092</v>
      </c>
      <c r="O911" s="6">
        <f>Table1[[#This Row],[Profit]]/Table1[[#This Row],[Sales_Amount]]</f>
        <v>0.42460557640317959</v>
      </c>
      <c r="P911" t="s">
        <v>52</v>
      </c>
    </row>
    <row r="912" spans="1:16" x14ac:dyDescent="0.35">
      <c r="A912" t="s">
        <v>2189</v>
      </c>
      <c r="B912" t="s">
        <v>293</v>
      </c>
      <c r="C912" t="str">
        <f>TEXT(Table1[[#This Row],[Order_Date]],"mmm")</f>
        <v>Sep</v>
      </c>
      <c r="D912">
        <f>YEAR(Table1[[#This Row],[Order_Date]])</f>
        <v>2025</v>
      </c>
      <c r="E912" t="s">
        <v>55</v>
      </c>
      <c r="F912" t="s">
        <v>188</v>
      </c>
      <c r="G912" t="s">
        <v>48</v>
      </c>
      <c r="H912" t="s">
        <v>2190</v>
      </c>
      <c r="I912" t="s">
        <v>76</v>
      </c>
      <c r="J912" t="s">
        <v>77</v>
      </c>
      <c r="K912">
        <v>18</v>
      </c>
      <c r="L912">
        <v>39890</v>
      </c>
      <c r="M912">
        <v>19267</v>
      </c>
      <c r="N912">
        <v>20623</v>
      </c>
      <c r="O912" s="6">
        <f>Table1[[#This Row],[Profit]]/Table1[[#This Row],[Sales_Amount]]</f>
        <v>0.51699674103785409</v>
      </c>
      <c r="P912" t="s">
        <v>60</v>
      </c>
    </row>
    <row r="913" spans="1:16" x14ac:dyDescent="0.35">
      <c r="A913" t="s">
        <v>2191</v>
      </c>
      <c r="B913" t="s">
        <v>119</v>
      </c>
      <c r="C913" t="str">
        <f>TEXT(Table1[[#This Row],[Order_Date]],"mmm")</f>
        <v>Mar</v>
      </c>
      <c r="D913">
        <f>YEAR(Table1[[#This Row],[Order_Date]])</f>
        <v>2025</v>
      </c>
      <c r="E913" t="s">
        <v>55</v>
      </c>
      <c r="F913" t="s">
        <v>188</v>
      </c>
      <c r="G913" t="s">
        <v>128</v>
      </c>
      <c r="H913" t="s">
        <v>1348</v>
      </c>
      <c r="I913" t="s">
        <v>125</v>
      </c>
      <c r="J913" t="s">
        <v>83</v>
      </c>
      <c r="K913">
        <v>2</v>
      </c>
      <c r="L913">
        <v>63132</v>
      </c>
      <c r="M913">
        <v>37074</v>
      </c>
      <c r="N913">
        <v>26058</v>
      </c>
      <c r="O913" s="6">
        <f>Table1[[#This Row],[Profit]]/Table1[[#This Row],[Sales_Amount]]</f>
        <v>0.41275422923398591</v>
      </c>
      <c r="P913" t="s">
        <v>52</v>
      </c>
    </row>
    <row r="914" spans="1:16" x14ac:dyDescent="0.35">
      <c r="A914" t="s">
        <v>2192</v>
      </c>
      <c r="B914" t="s">
        <v>1773</v>
      </c>
      <c r="C914" t="str">
        <f>TEXT(Table1[[#This Row],[Order_Date]],"mmm")</f>
        <v>Dec</v>
      </c>
      <c r="D914">
        <f>YEAR(Table1[[#This Row],[Order_Date]])</f>
        <v>2025</v>
      </c>
      <c r="E914" t="s">
        <v>46</v>
      </c>
      <c r="F914" t="s">
        <v>74</v>
      </c>
      <c r="G914" t="s">
        <v>116</v>
      </c>
      <c r="H914" t="s">
        <v>2193</v>
      </c>
      <c r="I914" t="s">
        <v>125</v>
      </c>
      <c r="J914" t="s">
        <v>83</v>
      </c>
      <c r="K914">
        <v>18</v>
      </c>
      <c r="L914">
        <v>20027</v>
      </c>
      <c r="M914">
        <v>10194</v>
      </c>
      <c r="N914">
        <v>9833</v>
      </c>
      <c r="O914" s="6">
        <f>Table1[[#This Row],[Profit]]/Table1[[#This Row],[Sales_Amount]]</f>
        <v>0.49098716732411246</v>
      </c>
      <c r="P914" t="s">
        <v>60</v>
      </c>
    </row>
    <row r="915" spans="1:16" x14ac:dyDescent="0.35">
      <c r="A915" t="s">
        <v>2194</v>
      </c>
      <c r="B915" t="s">
        <v>1684</v>
      </c>
      <c r="C915" t="str">
        <f>TEXT(Table1[[#This Row],[Order_Date]],"mmm")</f>
        <v>Jul</v>
      </c>
      <c r="D915">
        <f>YEAR(Table1[[#This Row],[Order_Date]])</f>
        <v>2025</v>
      </c>
      <c r="E915" t="s">
        <v>46</v>
      </c>
      <c r="F915" t="s">
        <v>74</v>
      </c>
      <c r="G915" t="s">
        <v>65</v>
      </c>
      <c r="H915" t="s">
        <v>2195</v>
      </c>
      <c r="I915" t="s">
        <v>50</v>
      </c>
      <c r="J915" t="s">
        <v>51</v>
      </c>
      <c r="K915">
        <v>1</v>
      </c>
      <c r="L915">
        <v>53458</v>
      </c>
      <c r="M915">
        <v>30614</v>
      </c>
      <c r="N915">
        <v>22844</v>
      </c>
      <c r="O915" s="6">
        <f>Table1[[#This Row],[Profit]]/Table1[[#This Row],[Sales_Amount]]</f>
        <v>0.42732612518238616</v>
      </c>
      <c r="P915" t="s">
        <v>98</v>
      </c>
    </row>
    <row r="916" spans="1:16" x14ac:dyDescent="0.35">
      <c r="A916" t="s">
        <v>2196</v>
      </c>
      <c r="B916" t="s">
        <v>123</v>
      </c>
      <c r="C916" t="str">
        <f>TEXT(Table1[[#This Row],[Order_Date]],"mmm")</f>
        <v>Jul</v>
      </c>
      <c r="D916">
        <f>YEAR(Table1[[#This Row],[Order_Date]])</f>
        <v>2025</v>
      </c>
      <c r="E916" t="s">
        <v>63</v>
      </c>
      <c r="F916" t="s">
        <v>104</v>
      </c>
      <c r="G916" t="s">
        <v>65</v>
      </c>
      <c r="H916" t="s">
        <v>2197</v>
      </c>
      <c r="I916" t="s">
        <v>50</v>
      </c>
      <c r="J916" t="s">
        <v>51</v>
      </c>
      <c r="K916">
        <v>3</v>
      </c>
      <c r="L916">
        <v>37994</v>
      </c>
      <c r="M916">
        <v>31151</v>
      </c>
      <c r="N916">
        <v>6843</v>
      </c>
      <c r="O916" s="6">
        <f>Table1[[#This Row],[Profit]]/Table1[[#This Row],[Sales_Amount]]</f>
        <v>0.18010738537663842</v>
      </c>
      <c r="P916" t="s">
        <v>52</v>
      </c>
    </row>
    <row r="917" spans="1:16" x14ac:dyDescent="0.35">
      <c r="A917" t="s">
        <v>2198</v>
      </c>
      <c r="B917" t="s">
        <v>917</v>
      </c>
      <c r="C917" t="str">
        <f>TEXT(Table1[[#This Row],[Order_Date]],"mmm")</f>
        <v>Jul</v>
      </c>
      <c r="D917">
        <f>YEAR(Table1[[#This Row],[Order_Date]])</f>
        <v>2025</v>
      </c>
      <c r="E917" t="s">
        <v>111</v>
      </c>
      <c r="F917" t="s">
        <v>169</v>
      </c>
      <c r="G917" t="s">
        <v>70</v>
      </c>
      <c r="H917" t="s">
        <v>2199</v>
      </c>
      <c r="I917" t="s">
        <v>143</v>
      </c>
      <c r="J917" t="s">
        <v>51</v>
      </c>
      <c r="K917">
        <v>9</v>
      </c>
      <c r="L917">
        <v>106838</v>
      </c>
      <c r="M917">
        <v>56560</v>
      </c>
      <c r="N917">
        <v>50278</v>
      </c>
      <c r="O917" s="6">
        <f>Table1[[#This Row],[Profit]]/Table1[[#This Row],[Sales_Amount]]</f>
        <v>0.47060034819071866</v>
      </c>
      <c r="P917" t="s">
        <v>60</v>
      </c>
    </row>
    <row r="918" spans="1:16" x14ac:dyDescent="0.35">
      <c r="A918" t="s">
        <v>2200</v>
      </c>
      <c r="B918" t="s">
        <v>2201</v>
      </c>
      <c r="C918" t="str">
        <f>TEXT(Table1[[#This Row],[Order_Date]],"mmm")</f>
        <v>Jun</v>
      </c>
      <c r="D918">
        <f>YEAR(Table1[[#This Row],[Order_Date]])</f>
        <v>2025</v>
      </c>
      <c r="E918" t="s">
        <v>63</v>
      </c>
      <c r="F918" t="s">
        <v>104</v>
      </c>
      <c r="G918" t="s">
        <v>128</v>
      </c>
      <c r="H918" t="s">
        <v>2202</v>
      </c>
      <c r="I918" t="s">
        <v>59</v>
      </c>
      <c r="J918" t="s">
        <v>51</v>
      </c>
      <c r="K918">
        <v>12</v>
      </c>
      <c r="L918">
        <v>37476</v>
      </c>
      <c r="M918">
        <v>19341</v>
      </c>
      <c r="N918">
        <v>18135</v>
      </c>
      <c r="O918" s="6">
        <f>Table1[[#This Row],[Profit]]/Table1[[#This Row],[Sales_Amount]]</f>
        <v>0.48390970220941404</v>
      </c>
      <c r="P918" t="s">
        <v>98</v>
      </c>
    </row>
    <row r="919" spans="1:16" x14ac:dyDescent="0.35">
      <c r="A919" t="s">
        <v>2203</v>
      </c>
      <c r="B919" t="s">
        <v>528</v>
      </c>
      <c r="C919" t="str">
        <f>TEXT(Table1[[#This Row],[Order_Date]],"mmm")</f>
        <v>Jan</v>
      </c>
      <c r="D919">
        <f>YEAR(Table1[[#This Row],[Order_Date]])</f>
        <v>2025</v>
      </c>
      <c r="E919" t="s">
        <v>46</v>
      </c>
      <c r="F919" t="s">
        <v>47</v>
      </c>
      <c r="G919" t="s">
        <v>80</v>
      </c>
      <c r="H919" t="s">
        <v>2204</v>
      </c>
      <c r="I919" t="s">
        <v>156</v>
      </c>
      <c r="J919" t="s">
        <v>157</v>
      </c>
      <c r="K919">
        <v>10</v>
      </c>
      <c r="L919">
        <v>106387</v>
      </c>
      <c r="M919">
        <v>83696</v>
      </c>
      <c r="N919">
        <v>22691</v>
      </c>
      <c r="O919" s="6">
        <f>Table1[[#This Row],[Profit]]/Table1[[#This Row],[Sales_Amount]]</f>
        <v>0.21328733773863348</v>
      </c>
      <c r="P919" t="s">
        <v>98</v>
      </c>
    </row>
    <row r="920" spans="1:16" x14ac:dyDescent="0.35">
      <c r="A920" t="s">
        <v>2205</v>
      </c>
      <c r="B920" t="s">
        <v>693</v>
      </c>
      <c r="C920" t="str">
        <f>TEXT(Table1[[#This Row],[Order_Date]],"mmm")</f>
        <v>Feb</v>
      </c>
      <c r="D920">
        <f>YEAR(Table1[[#This Row],[Order_Date]])</f>
        <v>2025</v>
      </c>
      <c r="E920" t="s">
        <v>63</v>
      </c>
      <c r="F920" t="s">
        <v>64</v>
      </c>
      <c r="G920" t="s">
        <v>128</v>
      </c>
      <c r="H920" t="s">
        <v>2206</v>
      </c>
      <c r="I920" t="s">
        <v>125</v>
      </c>
      <c r="J920" t="s">
        <v>83</v>
      </c>
      <c r="K920">
        <v>13</v>
      </c>
      <c r="L920">
        <v>70172</v>
      </c>
      <c r="M920">
        <v>38061</v>
      </c>
      <c r="N920">
        <v>32111</v>
      </c>
      <c r="O920" s="6">
        <f>Table1[[#This Row],[Profit]]/Table1[[#This Row],[Sales_Amount]]</f>
        <v>0.45760417260445763</v>
      </c>
      <c r="P920" t="s">
        <v>52</v>
      </c>
    </row>
    <row r="921" spans="1:16" x14ac:dyDescent="0.35">
      <c r="A921" t="s">
        <v>2207</v>
      </c>
      <c r="B921" t="s">
        <v>2208</v>
      </c>
      <c r="C921" t="str">
        <f>TEXT(Table1[[#This Row],[Order_Date]],"mmm")</f>
        <v>Dec</v>
      </c>
      <c r="D921">
        <f>YEAR(Table1[[#This Row],[Order_Date]])</f>
        <v>2025</v>
      </c>
      <c r="E921" t="s">
        <v>55</v>
      </c>
      <c r="F921" t="s">
        <v>56</v>
      </c>
      <c r="G921" t="s">
        <v>80</v>
      </c>
      <c r="H921" t="s">
        <v>2209</v>
      </c>
      <c r="I921" t="s">
        <v>156</v>
      </c>
      <c r="J921" t="s">
        <v>157</v>
      </c>
      <c r="K921">
        <v>14</v>
      </c>
      <c r="L921">
        <v>61371</v>
      </c>
      <c r="M921">
        <v>46440</v>
      </c>
      <c r="N921">
        <v>14931</v>
      </c>
      <c r="O921" s="6">
        <f>Table1[[#This Row],[Profit]]/Table1[[#This Row],[Sales_Amount]]</f>
        <v>0.2432908051033876</v>
      </c>
      <c r="P921" t="s">
        <v>60</v>
      </c>
    </row>
    <row r="922" spans="1:16" x14ac:dyDescent="0.35">
      <c r="A922" t="s">
        <v>2210</v>
      </c>
      <c r="B922" t="s">
        <v>1117</v>
      </c>
      <c r="C922" t="str">
        <f>TEXT(Table1[[#This Row],[Order_Date]],"mmm")</f>
        <v>Sep</v>
      </c>
      <c r="D922">
        <f>YEAR(Table1[[#This Row],[Order_Date]])</f>
        <v>2025</v>
      </c>
      <c r="E922" t="s">
        <v>55</v>
      </c>
      <c r="F922" t="s">
        <v>188</v>
      </c>
      <c r="G922" t="s">
        <v>128</v>
      </c>
      <c r="H922" t="s">
        <v>2211</v>
      </c>
      <c r="I922" t="s">
        <v>125</v>
      </c>
      <c r="J922" t="s">
        <v>83</v>
      </c>
      <c r="K922">
        <v>2</v>
      </c>
      <c r="L922">
        <v>100580</v>
      </c>
      <c r="M922">
        <v>77814</v>
      </c>
      <c r="N922">
        <v>22766</v>
      </c>
      <c r="O922" s="6">
        <f>Table1[[#This Row],[Profit]]/Table1[[#This Row],[Sales_Amount]]</f>
        <v>0.22634718631934778</v>
      </c>
      <c r="P922" t="s">
        <v>98</v>
      </c>
    </row>
    <row r="923" spans="1:16" x14ac:dyDescent="0.35">
      <c r="A923" t="s">
        <v>2212</v>
      </c>
      <c r="B923" t="s">
        <v>366</v>
      </c>
      <c r="C923" t="str">
        <f>TEXT(Table1[[#This Row],[Order_Date]],"mmm")</f>
        <v>May</v>
      </c>
      <c r="D923">
        <f>YEAR(Table1[[#This Row],[Order_Date]])</f>
        <v>2025</v>
      </c>
      <c r="E923" t="s">
        <v>63</v>
      </c>
      <c r="F923" t="s">
        <v>64</v>
      </c>
      <c r="G923" t="s">
        <v>48</v>
      </c>
      <c r="H923" t="s">
        <v>2213</v>
      </c>
      <c r="I923" t="s">
        <v>156</v>
      </c>
      <c r="J923" t="s">
        <v>157</v>
      </c>
      <c r="K923">
        <v>13</v>
      </c>
      <c r="L923">
        <v>89916</v>
      </c>
      <c r="M923">
        <v>60103</v>
      </c>
      <c r="N923">
        <v>29813</v>
      </c>
      <c r="O923" s="6">
        <f>Table1[[#This Row],[Profit]]/Table1[[#This Row],[Sales_Amount]]</f>
        <v>0.33156501623737711</v>
      </c>
      <c r="P923" t="s">
        <v>60</v>
      </c>
    </row>
    <row r="924" spans="1:16" x14ac:dyDescent="0.35">
      <c r="A924" t="s">
        <v>2214</v>
      </c>
      <c r="B924" t="s">
        <v>262</v>
      </c>
      <c r="C924" t="str">
        <f>TEXT(Table1[[#This Row],[Order_Date]],"mmm")</f>
        <v>Mar</v>
      </c>
      <c r="D924">
        <f>YEAR(Table1[[#This Row],[Order_Date]])</f>
        <v>2025</v>
      </c>
      <c r="E924" t="s">
        <v>46</v>
      </c>
      <c r="F924" t="s">
        <v>74</v>
      </c>
      <c r="G924" t="s">
        <v>57</v>
      </c>
      <c r="H924" t="s">
        <v>2215</v>
      </c>
      <c r="I924" t="s">
        <v>59</v>
      </c>
      <c r="J924" t="s">
        <v>51</v>
      </c>
      <c r="K924">
        <v>6</v>
      </c>
      <c r="L924">
        <v>23467</v>
      </c>
      <c r="M924">
        <v>15887</v>
      </c>
      <c r="N924">
        <v>7580</v>
      </c>
      <c r="O924" s="6">
        <f>Table1[[#This Row],[Profit]]/Table1[[#This Row],[Sales_Amount]]</f>
        <v>0.32300677547193934</v>
      </c>
      <c r="P924" t="s">
        <v>60</v>
      </c>
    </row>
    <row r="925" spans="1:16" x14ac:dyDescent="0.35">
      <c r="A925" t="s">
        <v>2216</v>
      </c>
      <c r="B925" t="s">
        <v>119</v>
      </c>
      <c r="C925" t="str">
        <f>TEXT(Table1[[#This Row],[Order_Date]],"mmm")</f>
        <v>Mar</v>
      </c>
      <c r="D925">
        <f>YEAR(Table1[[#This Row],[Order_Date]])</f>
        <v>2025</v>
      </c>
      <c r="E925" t="s">
        <v>46</v>
      </c>
      <c r="F925" t="s">
        <v>47</v>
      </c>
      <c r="G925" t="s">
        <v>65</v>
      </c>
      <c r="H925" t="s">
        <v>2217</v>
      </c>
      <c r="I925" t="s">
        <v>87</v>
      </c>
      <c r="J925" t="s">
        <v>88</v>
      </c>
      <c r="K925">
        <v>14</v>
      </c>
      <c r="L925">
        <v>103160</v>
      </c>
      <c r="M925">
        <v>68091</v>
      </c>
      <c r="N925">
        <v>35069</v>
      </c>
      <c r="O925" s="6">
        <f>Table1[[#This Row],[Profit]]/Table1[[#This Row],[Sales_Amount]]</f>
        <v>0.33994765412950756</v>
      </c>
      <c r="P925" t="s">
        <v>98</v>
      </c>
    </row>
    <row r="926" spans="1:16" x14ac:dyDescent="0.35">
      <c r="A926" t="s">
        <v>2218</v>
      </c>
      <c r="B926" t="s">
        <v>191</v>
      </c>
      <c r="C926" t="str">
        <f>TEXT(Table1[[#This Row],[Order_Date]],"mmm")</f>
        <v>Oct</v>
      </c>
      <c r="D926">
        <f>YEAR(Table1[[#This Row],[Order_Date]])</f>
        <v>2025</v>
      </c>
      <c r="E926" t="s">
        <v>63</v>
      </c>
      <c r="F926" t="s">
        <v>104</v>
      </c>
      <c r="G926" t="s">
        <v>65</v>
      </c>
      <c r="H926" t="s">
        <v>2219</v>
      </c>
      <c r="I926" t="s">
        <v>50</v>
      </c>
      <c r="J926" t="s">
        <v>51</v>
      </c>
      <c r="K926">
        <v>20</v>
      </c>
      <c r="L926">
        <v>18487</v>
      </c>
      <c r="M926">
        <v>14283</v>
      </c>
      <c r="N926">
        <v>4204</v>
      </c>
      <c r="O926" s="6">
        <f>Table1[[#This Row],[Profit]]/Table1[[#This Row],[Sales_Amount]]</f>
        <v>0.2274030399740358</v>
      </c>
      <c r="P926" t="s">
        <v>60</v>
      </c>
    </row>
    <row r="927" spans="1:16" x14ac:dyDescent="0.35">
      <c r="A927" t="s">
        <v>2220</v>
      </c>
      <c r="B927" t="s">
        <v>1868</v>
      </c>
      <c r="C927" t="str">
        <f>TEXT(Table1[[#This Row],[Order_Date]],"mmm")</f>
        <v>Jun</v>
      </c>
      <c r="D927">
        <f>YEAR(Table1[[#This Row],[Order_Date]])</f>
        <v>2025</v>
      </c>
      <c r="E927" t="s">
        <v>46</v>
      </c>
      <c r="F927" t="s">
        <v>74</v>
      </c>
      <c r="G927" t="s">
        <v>70</v>
      </c>
      <c r="H927" t="s">
        <v>2221</v>
      </c>
      <c r="I927" t="s">
        <v>143</v>
      </c>
      <c r="J927" t="s">
        <v>51</v>
      </c>
      <c r="K927">
        <v>15</v>
      </c>
      <c r="L927">
        <v>68687</v>
      </c>
      <c r="M927">
        <v>30991</v>
      </c>
      <c r="N927">
        <v>37696</v>
      </c>
      <c r="O927" s="6">
        <f>Table1[[#This Row],[Profit]]/Table1[[#This Row],[Sales_Amount]]</f>
        <v>0.54880836257224808</v>
      </c>
      <c r="P927" t="s">
        <v>121</v>
      </c>
    </row>
    <row r="928" spans="1:16" x14ac:dyDescent="0.35">
      <c r="A928" t="s">
        <v>2222</v>
      </c>
      <c r="B928" t="s">
        <v>271</v>
      </c>
      <c r="C928" t="str">
        <f>TEXT(Table1[[#This Row],[Order_Date]],"mmm")</f>
        <v>Aug</v>
      </c>
      <c r="D928">
        <f>YEAR(Table1[[#This Row],[Order_Date]])</f>
        <v>2025</v>
      </c>
      <c r="E928" t="s">
        <v>46</v>
      </c>
      <c r="F928" t="s">
        <v>47</v>
      </c>
      <c r="G928" t="s">
        <v>128</v>
      </c>
      <c r="H928" t="s">
        <v>2223</v>
      </c>
      <c r="I928" t="s">
        <v>125</v>
      </c>
      <c r="J928" t="s">
        <v>83</v>
      </c>
      <c r="K928">
        <v>23</v>
      </c>
      <c r="L928">
        <v>79051</v>
      </c>
      <c r="M928">
        <v>36913</v>
      </c>
      <c r="N928">
        <v>42138</v>
      </c>
      <c r="O928" s="6">
        <f>Table1[[#This Row],[Profit]]/Table1[[#This Row],[Sales_Amount]]</f>
        <v>0.53304828528418358</v>
      </c>
      <c r="P928" t="s">
        <v>60</v>
      </c>
    </row>
    <row r="929" spans="1:16" x14ac:dyDescent="0.35">
      <c r="A929" t="s">
        <v>2224</v>
      </c>
      <c r="B929" t="s">
        <v>796</v>
      </c>
      <c r="C929" t="str">
        <f>TEXT(Table1[[#This Row],[Order_Date]],"mmm")</f>
        <v>Sep</v>
      </c>
      <c r="D929">
        <f>YEAR(Table1[[#This Row],[Order_Date]])</f>
        <v>2025</v>
      </c>
      <c r="E929" t="s">
        <v>46</v>
      </c>
      <c r="F929" t="s">
        <v>47</v>
      </c>
      <c r="G929" t="s">
        <v>70</v>
      </c>
      <c r="H929" t="s">
        <v>2225</v>
      </c>
      <c r="I929" t="s">
        <v>50</v>
      </c>
      <c r="J929" t="s">
        <v>51</v>
      </c>
      <c r="K929">
        <v>17</v>
      </c>
      <c r="L929">
        <v>20088</v>
      </c>
      <c r="M929">
        <v>14487</v>
      </c>
      <c r="N929">
        <v>5601</v>
      </c>
      <c r="O929" s="6">
        <f>Table1[[#This Row],[Profit]]/Table1[[#This Row],[Sales_Amount]]</f>
        <v>0.2788231780167264</v>
      </c>
      <c r="P929" t="s">
        <v>121</v>
      </c>
    </row>
    <row r="930" spans="1:16" x14ac:dyDescent="0.35">
      <c r="A930" t="s">
        <v>2226</v>
      </c>
      <c r="B930" t="s">
        <v>985</v>
      </c>
      <c r="C930" t="str">
        <f>TEXT(Table1[[#This Row],[Order_Date]],"mmm")</f>
        <v>Apr</v>
      </c>
      <c r="D930">
        <f>YEAR(Table1[[#This Row],[Order_Date]])</f>
        <v>2025</v>
      </c>
      <c r="E930" t="s">
        <v>46</v>
      </c>
      <c r="F930" t="s">
        <v>74</v>
      </c>
      <c r="G930" t="s">
        <v>116</v>
      </c>
      <c r="H930" t="s">
        <v>2227</v>
      </c>
      <c r="I930" t="s">
        <v>50</v>
      </c>
      <c r="J930" t="s">
        <v>51</v>
      </c>
      <c r="K930">
        <v>10</v>
      </c>
      <c r="L930">
        <v>51506</v>
      </c>
      <c r="M930">
        <v>23748</v>
      </c>
      <c r="N930">
        <v>27758</v>
      </c>
      <c r="O930" s="6">
        <f>Table1[[#This Row],[Profit]]/Table1[[#This Row],[Sales_Amount]]</f>
        <v>0.53892750359181452</v>
      </c>
      <c r="P930" t="s">
        <v>52</v>
      </c>
    </row>
    <row r="931" spans="1:16" x14ac:dyDescent="0.35">
      <c r="A931" t="s">
        <v>2228</v>
      </c>
      <c r="B931" t="s">
        <v>107</v>
      </c>
      <c r="C931" t="str">
        <f>TEXT(Table1[[#This Row],[Order_Date]],"mmm")</f>
        <v>Sep</v>
      </c>
      <c r="D931">
        <f>YEAR(Table1[[#This Row],[Order_Date]])</f>
        <v>2025</v>
      </c>
      <c r="E931" t="s">
        <v>63</v>
      </c>
      <c r="F931" t="s">
        <v>104</v>
      </c>
      <c r="G931" t="s">
        <v>57</v>
      </c>
      <c r="H931" t="s">
        <v>2229</v>
      </c>
      <c r="I931" t="s">
        <v>76</v>
      </c>
      <c r="J931" t="s">
        <v>77</v>
      </c>
      <c r="K931">
        <v>5</v>
      </c>
      <c r="L931">
        <v>60178</v>
      </c>
      <c r="M931">
        <v>49841</v>
      </c>
      <c r="N931">
        <v>10337</v>
      </c>
      <c r="O931" s="6">
        <f>Table1[[#This Row],[Profit]]/Table1[[#This Row],[Sales_Amount]]</f>
        <v>0.17177373791086445</v>
      </c>
      <c r="P931" t="s">
        <v>121</v>
      </c>
    </row>
    <row r="932" spans="1:16" x14ac:dyDescent="0.35">
      <c r="A932" t="s">
        <v>2230</v>
      </c>
      <c r="B932" t="s">
        <v>722</v>
      </c>
      <c r="C932" t="str">
        <f>TEXT(Table1[[#This Row],[Order_Date]],"mmm")</f>
        <v>Jun</v>
      </c>
      <c r="D932">
        <f>YEAR(Table1[[#This Row],[Order_Date]])</f>
        <v>2025</v>
      </c>
      <c r="E932" t="s">
        <v>63</v>
      </c>
      <c r="F932" t="s">
        <v>104</v>
      </c>
      <c r="G932" t="s">
        <v>65</v>
      </c>
      <c r="H932" t="s">
        <v>2231</v>
      </c>
      <c r="I932" t="s">
        <v>143</v>
      </c>
      <c r="J932" t="s">
        <v>51</v>
      </c>
      <c r="K932">
        <v>14</v>
      </c>
      <c r="L932">
        <v>10339</v>
      </c>
      <c r="M932">
        <v>5347</v>
      </c>
      <c r="N932">
        <v>4992</v>
      </c>
      <c r="O932" s="6">
        <f>Table1[[#This Row],[Profit]]/Table1[[#This Row],[Sales_Amount]]</f>
        <v>0.48283199535738464</v>
      </c>
      <c r="P932" t="s">
        <v>60</v>
      </c>
    </row>
    <row r="933" spans="1:16" x14ac:dyDescent="0.35">
      <c r="A933" t="s">
        <v>2232</v>
      </c>
      <c r="B933" t="s">
        <v>785</v>
      </c>
      <c r="C933" t="str">
        <f>TEXT(Table1[[#This Row],[Order_Date]],"mmm")</f>
        <v>Nov</v>
      </c>
      <c r="D933">
        <f>YEAR(Table1[[#This Row],[Order_Date]])</f>
        <v>2025</v>
      </c>
      <c r="E933" t="s">
        <v>55</v>
      </c>
      <c r="F933" t="s">
        <v>188</v>
      </c>
      <c r="G933" t="s">
        <v>116</v>
      </c>
      <c r="H933" t="s">
        <v>2233</v>
      </c>
      <c r="I933" t="s">
        <v>76</v>
      </c>
      <c r="J933" t="s">
        <v>77</v>
      </c>
      <c r="K933">
        <v>17</v>
      </c>
      <c r="L933">
        <v>91101</v>
      </c>
      <c r="M933">
        <v>61368</v>
      </c>
      <c r="N933">
        <v>29733</v>
      </c>
      <c r="O933" s="6">
        <f>Table1[[#This Row],[Profit]]/Table1[[#This Row],[Sales_Amount]]</f>
        <v>0.32637402443441893</v>
      </c>
      <c r="P933" t="s">
        <v>60</v>
      </c>
    </row>
    <row r="934" spans="1:16" x14ac:dyDescent="0.35">
      <c r="A934" t="s">
        <v>2234</v>
      </c>
      <c r="B934" t="s">
        <v>175</v>
      </c>
      <c r="C934" t="str">
        <f>TEXT(Table1[[#This Row],[Order_Date]],"mmm")</f>
        <v>Jan</v>
      </c>
      <c r="D934">
        <f>YEAR(Table1[[#This Row],[Order_Date]])</f>
        <v>2025</v>
      </c>
      <c r="E934" t="s">
        <v>63</v>
      </c>
      <c r="F934" t="s">
        <v>104</v>
      </c>
      <c r="G934" t="s">
        <v>138</v>
      </c>
      <c r="H934" t="s">
        <v>2235</v>
      </c>
      <c r="I934" t="s">
        <v>156</v>
      </c>
      <c r="J934" t="s">
        <v>157</v>
      </c>
      <c r="K934">
        <v>16</v>
      </c>
      <c r="L934">
        <v>99452</v>
      </c>
      <c r="M934">
        <v>74218</v>
      </c>
      <c r="N934">
        <v>25234</v>
      </c>
      <c r="O934" s="6">
        <f>Table1[[#This Row],[Profit]]/Table1[[#This Row],[Sales_Amount]]</f>
        <v>0.25373044282669027</v>
      </c>
      <c r="P934" t="s">
        <v>60</v>
      </c>
    </row>
    <row r="935" spans="1:16" x14ac:dyDescent="0.35">
      <c r="A935" t="s">
        <v>2236</v>
      </c>
      <c r="B935" t="s">
        <v>1767</v>
      </c>
      <c r="C935" t="str">
        <f>TEXT(Table1[[#This Row],[Order_Date]],"mmm")</f>
        <v>Feb</v>
      </c>
      <c r="D935">
        <f>YEAR(Table1[[#This Row],[Order_Date]])</f>
        <v>2025</v>
      </c>
      <c r="E935" t="s">
        <v>46</v>
      </c>
      <c r="F935" t="s">
        <v>47</v>
      </c>
      <c r="G935" t="s">
        <v>57</v>
      </c>
      <c r="H935" t="s">
        <v>2237</v>
      </c>
      <c r="I935" t="s">
        <v>50</v>
      </c>
      <c r="J935" t="s">
        <v>51</v>
      </c>
      <c r="K935">
        <v>3</v>
      </c>
      <c r="L935">
        <v>73599</v>
      </c>
      <c r="M935">
        <v>42013</v>
      </c>
      <c r="N935">
        <v>31586</v>
      </c>
      <c r="O935" s="6">
        <f>Table1[[#This Row],[Profit]]/Table1[[#This Row],[Sales_Amount]]</f>
        <v>0.42916343972064835</v>
      </c>
      <c r="P935" t="s">
        <v>60</v>
      </c>
    </row>
    <row r="936" spans="1:16" x14ac:dyDescent="0.35">
      <c r="A936" t="s">
        <v>2238</v>
      </c>
      <c r="B936" t="s">
        <v>1445</v>
      </c>
      <c r="C936" t="str">
        <f>TEXT(Table1[[#This Row],[Order_Date]],"mmm")</f>
        <v>Dec</v>
      </c>
      <c r="D936">
        <f>YEAR(Table1[[#This Row],[Order_Date]])</f>
        <v>2025</v>
      </c>
      <c r="E936" t="s">
        <v>63</v>
      </c>
      <c r="F936" t="s">
        <v>104</v>
      </c>
      <c r="G936" t="s">
        <v>70</v>
      </c>
      <c r="H936" t="s">
        <v>2239</v>
      </c>
      <c r="I936" t="s">
        <v>143</v>
      </c>
      <c r="J936" t="s">
        <v>51</v>
      </c>
      <c r="K936">
        <v>8</v>
      </c>
      <c r="L936">
        <v>54944</v>
      </c>
      <c r="M936">
        <v>25836</v>
      </c>
      <c r="N936">
        <v>29108</v>
      </c>
      <c r="O936" s="6">
        <f>Table1[[#This Row],[Profit]]/Table1[[#This Row],[Sales_Amount]]</f>
        <v>0.52977577169481649</v>
      </c>
      <c r="P936" t="s">
        <v>52</v>
      </c>
    </row>
    <row r="937" spans="1:16" x14ac:dyDescent="0.35">
      <c r="A937" t="s">
        <v>2240</v>
      </c>
      <c r="B937" t="s">
        <v>910</v>
      </c>
      <c r="C937" t="str">
        <f>TEXT(Table1[[#This Row],[Order_Date]],"mmm")</f>
        <v>May</v>
      </c>
      <c r="D937">
        <f>YEAR(Table1[[#This Row],[Order_Date]])</f>
        <v>2025</v>
      </c>
      <c r="E937" t="s">
        <v>55</v>
      </c>
      <c r="F937" t="s">
        <v>56</v>
      </c>
      <c r="G937" t="s">
        <v>80</v>
      </c>
      <c r="H937" t="s">
        <v>2241</v>
      </c>
      <c r="I937" t="s">
        <v>50</v>
      </c>
      <c r="J937" t="s">
        <v>51</v>
      </c>
      <c r="K937">
        <v>16</v>
      </c>
      <c r="L937">
        <v>68268</v>
      </c>
      <c r="M937">
        <v>41081</v>
      </c>
      <c r="N937">
        <v>27187</v>
      </c>
      <c r="O937" s="6">
        <f>Table1[[#This Row],[Profit]]/Table1[[#This Row],[Sales_Amount]]</f>
        <v>0.3982392922013242</v>
      </c>
      <c r="P937" t="s">
        <v>52</v>
      </c>
    </row>
    <row r="938" spans="1:16" x14ac:dyDescent="0.35">
      <c r="A938" t="s">
        <v>2242</v>
      </c>
      <c r="B938" t="s">
        <v>1181</v>
      </c>
      <c r="C938" t="str">
        <f>TEXT(Table1[[#This Row],[Order_Date]],"mmm")</f>
        <v>Mar</v>
      </c>
      <c r="D938">
        <f>YEAR(Table1[[#This Row],[Order_Date]])</f>
        <v>2025</v>
      </c>
      <c r="E938" t="s">
        <v>63</v>
      </c>
      <c r="F938" t="s">
        <v>104</v>
      </c>
      <c r="G938" t="s">
        <v>70</v>
      </c>
      <c r="H938" t="s">
        <v>2243</v>
      </c>
      <c r="I938" t="s">
        <v>67</v>
      </c>
      <c r="J938" t="s">
        <v>51</v>
      </c>
      <c r="K938">
        <v>13</v>
      </c>
      <c r="L938">
        <v>103926</v>
      </c>
      <c r="M938">
        <v>82362</v>
      </c>
      <c r="N938">
        <v>21564</v>
      </c>
      <c r="O938" s="6">
        <f>Table1[[#This Row],[Profit]]/Table1[[#This Row],[Sales_Amount]]</f>
        <v>0.20749379366087409</v>
      </c>
      <c r="P938" t="s">
        <v>121</v>
      </c>
    </row>
    <row r="939" spans="1:16" x14ac:dyDescent="0.35">
      <c r="A939" t="s">
        <v>2244</v>
      </c>
      <c r="B939" t="s">
        <v>1004</v>
      </c>
      <c r="C939" t="str">
        <f>TEXT(Table1[[#This Row],[Order_Date]],"mmm")</f>
        <v>Oct</v>
      </c>
      <c r="D939">
        <f>YEAR(Table1[[#This Row],[Order_Date]])</f>
        <v>2025</v>
      </c>
      <c r="E939" t="s">
        <v>63</v>
      </c>
      <c r="F939" t="s">
        <v>104</v>
      </c>
      <c r="G939" t="s">
        <v>57</v>
      </c>
      <c r="H939" t="s">
        <v>2245</v>
      </c>
      <c r="I939" t="s">
        <v>59</v>
      </c>
      <c r="J939" t="s">
        <v>51</v>
      </c>
      <c r="K939">
        <v>23</v>
      </c>
      <c r="L939">
        <v>72973</v>
      </c>
      <c r="M939">
        <v>43367</v>
      </c>
      <c r="N939">
        <v>29606</v>
      </c>
      <c r="O939" s="6">
        <f>Table1[[#This Row],[Profit]]/Table1[[#This Row],[Sales_Amount]]</f>
        <v>0.40571170158825864</v>
      </c>
      <c r="P939" t="s">
        <v>121</v>
      </c>
    </row>
    <row r="940" spans="1:16" x14ac:dyDescent="0.35">
      <c r="A940" t="s">
        <v>2246</v>
      </c>
      <c r="B940" t="s">
        <v>1972</v>
      </c>
      <c r="C940" t="str">
        <f>TEXT(Table1[[#This Row],[Order_Date]],"mmm")</f>
        <v>Oct</v>
      </c>
      <c r="D940">
        <f>YEAR(Table1[[#This Row],[Order_Date]])</f>
        <v>2025</v>
      </c>
      <c r="E940" t="s">
        <v>111</v>
      </c>
      <c r="F940" t="s">
        <v>112</v>
      </c>
      <c r="G940" t="s">
        <v>48</v>
      </c>
      <c r="H940" t="s">
        <v>2247</v>
      </c>
      <c r="I940" t="s">
        <v>143</v>
      </c>
      <c r="J940" t="s">
        <v>51</v>
      </c>
      <c r="K940">
        <v>9</v>
      </c>
      <c r="L940">
        <v>113157</v>
      </c>
      <c r="M940">
        <v>95492</v>
      </c>
      <c r="N940">
        <v>17665</v>
      </c>
      <c r="O940" s="6">
        <f>Table1[[#This Row],[Profit]]/Table1[[#This Row],[Sales_Amount]]</f>
        <v>0.15611053668796451</v>
      </c>
      <c r="P940" t="s">
        <v>98</v>
      </c>
    </row>
    <row r="941" spans="1:16" x14ac:dyDescent="0.35">
      <c r="A941" t="s">
        <v>2248</v>
      </c>
      <c r="B941" t="s">
        <v>1460</v>
      </c>
      <c r="C941" t="str">
        <f>TEXT(Table1[[#This Row],[Order_Date]],"mmm")</f>
        <v>May</v>
      </c>
      <c r="D941">
        <f>YEAR(Table1[[#This Row],[Order_Date]])</f>
        <v>2025</v>
      </c>
      <c r="E941" t="s">
        <v>111</v>
      </c>
      <c r="F941" t="s">
        <v>112</v>
      </c>
      <c r="G941" t="s">
        <v>70</v>
      </c>
      <c r="H941" t="s">
        <v>2249</v>
      </c>
      <c r="I941" t="s">
        <v>125</v>
      </c>
      <c r="J941" t="s">
        <v>83</v>
      </c>
      <c r="K941">
        <v>6</v>
      </c>
      <c r="L941">
        <v>76339</v>
      </c>
      <c r="M941">
        <v>56503</v>
      </c>
      <c r="N941">
        <v>19836</v>
      </c>
      <c r="O941" s="6">
        <f>Table1[[#This Row],[Profit]]/Table1[[#This Row],[Sales_Amount]]</f>
        <v>0.25984097250422455</v>
      </c>
      <c r="P941" t="s">
        <v>98</v>
      </c>
    </row>
    <row r="942" spans="1:16" x14ac:dyDescent="0.35">
      <c r="A942" t="s">
        <v>2250</v>
      </c>
      <c r="B942" t="s">
        <v>1285</v>
      </c>
      <c r="C942" t="str">
        <f>TEXT(Table1[[#This Row],[Order_Date]],"mmm")</f>
        <v>Apr</v>
      </c>
      <c r="D942">
        <f>YEAR(Table1[[#This Row],[Order_Date]])</f>
        <v>2025</v>
      </c>
      <c r="E942" t="s">
        <v>46</v>
      </c>
      <c r="F942" t="s">
        <v>47</v>
      </c>
      <c r="G942" t="s">
        <v>70</v>
      </c>
      <c r="H942" t="s">
        <v>2251</v>
      </c>
      <c r="I942" t="s">
        <v>125</v>
      </c>
      <c r="J942" t="s">
        <v>83</v>
      </c>
      <c r="K942">
        <v>2</v>
      </c>
      <c r="L942">
        <v>103378</v>
      </c>
      <c r="M942">
        <v>80729</v>
      </c>
      <c r="N942">
        <v>22649</v>
      </c>
      <c r="O942" s="6">
        <f>Table1[[#This Row],[Profit]]/Table1[[#This Row],[Sales_Amount]]</f>
        <v>0.21908916790806554</v>
      </c>
      <c r="P942" t="s">
        <v>98</v>
      </c>
    </row>
    <row r="943" spans="1:16" x14ac:dyDescent="0.35">
      <c r="A943" t="s">
        <v>2252</v>
      </c>
      <c r="B943" t="s">
        <v>1048</v>
      </c>
      <c r="C943" t="str">
        <f>TEXT(Table1[[#This Row],[Order_Date]],"mmm")</f>
        <v>Nov</v>
      </c>
      <c r="D943">
        <f>YEAR(Table1[[#This Row],[Order_Date]])</f>
        <v>2025</v>
      </c>
      <c r="E943" t="s">
        <v>111</v>
      </c>
      <c r="F943" t="s">
        <v>169</v>
      </c>
      <c r="G943" t="s">
        <v>128</v>
      </c>
      <c r="H943" t="s">
        <v>2253</v>
      </c>
      <c r="I943" t="s">
        <v>143</v>
      </c>
      <c r="J943" t="s">
        <v>51</v>
      </c>
      <c r="K943">
        <v>10</v>
      </c>
      <c r="L943">
        <v>86919</v>
      </c>
      <c r="M943">
        <v>56259</v>
      </c>
      <c r="N943">
        <v>30660</v>
      </c>
      <c r="O943" s="6">
        <f>Table1[[#This Row],[Profit]]/Table1[[#This Row],[Sales_Amount]]</f>
        <v>0.35274220826286545</v>
      </c>
      <c r="P943" t="s">
        <v>121</v>
      </c>
    </row>
    <row r="944" spans="1:16" x14ac:dyDescent="0.35">
      <c r="A944" t="s">
        <v>2254</v>
      </c>
      <c r="B944" t="s">
        <v>474</v>
      </c>
      <c r="C944" t="str">
        <f>TEXT(Table1[[#This Row],[Order_Date]],"mmm")</f>
        <v>Nov</v>
      </c>
      <c r="D944">
        <f>YEAR(Table1[[#This Row],[Order_Date]])</f>
        <v>2025</v>
      </c>
      <c r="E944" t="s">
        <v>55</v>
      </c>
      <c r="F944" t="s">
        <v>188</v>
      </c>
      <c r="G944" t="s">
        <v>57</v>
      </c>
      <c r="H944" t="s">
        <v>2255</v>
      </c>
      <c r="I944" t="s">
        <v>125</v>
      </c>
      <c r="J944" t="s">
        <v>83</v>
      </c>
      <c r="K944">
        <v>24</v>
      </c>
      <c r="L944">
        <v>35965</v>
      </c>
      <c r="M944">
        <v>28191</v>
      </c>
      <c r="N944">
        <v>7774</v>
      </c>
      <c r="O944" s="6">
        <f>Table1[[#This Row],[Profit]]/Table1[[#This Row],[Sales_Amount]]</f>
        <v>0.21615459474489088</v>
      </c>
      <c r="P944" t="s">
        <v>60</v>
      </c>
    </row>
    <row r="945" spans="1:16" x14ac:dyDescent="0.35">
      <c r="A945" t="s">
        <v>2256</v>
      </c>
      <c r="B945" t="s">
        <v>728</v>
      </c>
      <c r="C945" t="str">
        <f>TEXT(Table1[[#This Row],[Order_Date]],"mmm")</f>
        <v>Aug</v>
      </c>
      <c r="D945">
        <f>YEAR(Table1[[#This Row],[Order_Date]])</f>
        <v>2025</v>
      </c>
      <c r="E945" t="s">
        <v>55</v>
      </c>
      <c r="F945" t="s">
        <v>188</v>
      </c>
      <c r="G945" t="s">
        <v>138</v>
      </c>
      <c r="H945" t="s">
        <v>2257</v>
      </c>
      <c r="I945" t="s">
        <v>59</v>
      </c>
      <c r="J945" t="s">
        <v>51</v>
      </c>
      <c r="K945">
        <v>7</v>
      </c>
      <c r="L945">
        <v>79863</v>
      </c>
      <c r="M945">
        <v>52810</v>
      </c>
      <c r="N945">
        <v>27053</v>
      </c>
      <c r="O945" s="6">
        <f>Table1[[#This Row],[Profit]]/Table1[[#This Row],[Sales_Amount]]</f>
        <v>0.33874259669684337</v>
      </c>
      <c r="P945" t="s">
        <v>52</v>
      </c>
    </row>
    <row r="946" spans="1:16" x14ac:dyDescent="0.35">
      <c r="A946" t="s">
        <v>2258</v>
      </c>
      <c r="B946" t="s">
        <v>659</v>
      </c>
      <c r="C946" t="str">
        <f>TEXT(Table1[[#This Row],[Order_Date]],"mmm")</f>
        <v>Jan</v>
      </c>
      <c r="D946">
        <f>YEAR(Table1[[#This Row],[Order_Date]])</f>
        <v>2025</v>
      </c>
      <c r="E946" t="s">
        <v>63</v>
      </c>
      <c r="F946" t="s">
        <v>104</v>
      </c>
      <c r="G946" t="s">
        <v>48</v>
      </c>
      <c r="H946" t="s">
        <v>2259</v>
      </c>
      <c r="I946" t="s">
        <v>76</v>
      </c>
      <c r="J946" t="s">
        <v>77</v>
      </c>
      <c r="K946">
        <v>5</v>
      </c>
      <c r="L946">
        <v>92592</v>
      </c>
      <c r="M946">
        <v>77293</v>
      </c>
      <c r="N946">
        <v>15299</v>
      </c>
      <c r="O946" s="6">
        <f>Table1[[#This Row],[Profit]]/Table1[[#This Row],[Sales_Amount]]</f>
        <v>0.16523025747364783</v>
      </c>
      <c r="P946" t="s">
        <v>60</v>
      </c>
    </row>
    <row r="947" spans="1:16" x14ac:dyDescent="0.35">
      <c r="A947" t="s">
        <v>2260</v>
      </c>
      <c r="B947" t="s">
        <v>872</v>
      </c>
      <c r="C947" t="str">
        <f>TEXT(Table1[[#This Row],[Order_Date]],"mmm")</f>
        <v>Mar</v>
      </c>
      <c r="D947">
        <f>YEAR(Table1[[#This Row],[Order_Date]])</f>
        <v>2025</v>
      </c>
      <c r="E947" t="s">
        <v>46</v>
      </c>
      <c r="F947" t="s">
        <v>74</v>
      </c>
      <c r="G947" t="s">
        <v>128</v>
      </c>
      <c r="H947" t="s">
        <v>2261</v>
      </c>
      <c r="I947" t="s">
        <v>82</v>
      </c>
      <c r="J947" t="s">
        <v>83</v>
      </c>
      <c r="K947">
        <v>24</v>
      </c>
      <c r="L947">
        <v>79053</v>
      </c>
      <c r="M947">
        <v>38353</v>
      </c>
      <c r="N947">
        <v>40700</v>
      </c>
      <c r="O947" s="6">
        <f>Table1[[#This Row],[Profit]]/Table1[[#This Row],[Sales_Amount]]</f>
        <v>0.51484447143055923</v>
      </c>
      <c r="P947" t="s">
        <v>60</v>
      </c>
    </row>
    <row r="948" spans="1:16" x14ac:dyDescent="0.35">
      <c r="A948" t="s">
        <v>2262</v>
      </c>
      <c r="B948" t="s">
        <v>107</v>
      </c>
      <c r="C948" t="str">
        <f>TEXT(Table1[[#This Row],[Order_Date]],"mmm")</f>
        <v>Sep</v>
      </c>
      <c r="D948">
        <f>YEAR(Table1[[#This Row],[Order_Date]])</f>
        <v>2025</v>
      </c>
      <c r="E948" t="s">
        <v>111</v>
      </c>
      <c r="F948" t="s">
        <v>169</v>
      </c>
      <c r="G948" t="s">
        <v>116</v>
      </c>
      <c r="H948" t="s">
        <v>1721</v>
      </c>
      <c r="I948" t="s">
        <v>87</v>
      </c>
      <c r="J948" t="s">
        <v>88</v>
      </c>
      <c r="K948">
        <v>23</v>
      </c>
      <c r="L948">
        <v>49957</v>
      </c>
      <c r="M948">
        <v>38894</v>
      </c>
      <c r="N948">
        <v>11063</v>
      </c>
      <c r="O948" s="6">
        <f>Table1[[#This Row],[Profit]]/Table1[[#This Row],[Sales_Amount]]</f>
        <v>0.22145044738475089</v>
      </c>
      <c r="P948" t="s">
        <v>52</v>
      </c>
    </row>
    <row r="949" spans="1:16" x14ac:dyDescent="0.35">
      <c r="A949" t="s">
        <v>2263</v>
      </c>
      <c r="B949" t="s">
        <v>348</v>
      </c>
      <c r="C949" t="str">
        <f>TEXT(Table1[[#This Row],[Order_Date]],"mmm")</f>
        <v>Feb</v>
      </c>
      <c r="D949">
        <f>YEAR(Table1[[#This Row],[Order_Date]])</f>
        <v>2025</v>
      </c>
      <c r="E949" t="s">
        <v>63</v>
      </c>
      <c r="F949" t="s">
        <v>64</v>
      </c>
      <c r="G949" t="s">
        <v>70</v>
      </c>
      <c r="H949" t="s">
        <v>2264</v>
      </c>
      <c r="I949" t="s">
        <v>87</v>
      </c>
      <c r="J949" t="s">
        <v>88</v>
      </c>
      <c r="K949">
        <v>10</v>
      </c>
      <c r="L949">
        <v>74590</v>
      </c>
      <c r="M949">
        <v>57831</v>
      </c>
      <c r="N949">
        <v>16759</v>
      </c>
      <c r="O949" s="6">
        <f>Table1[[#This Row],[Profit]]/Table1[[#This Row],[Sales_Amount]]</f>
        <v>0.22468159270679716</v>
      </c>
      <c r="P949" t="s">
        <v>60</v>
      </c>
    </row>
    <row r="950" spans="1:16" x14ac:dyDescent="0.35">
      <c r="A950" t="s">
        <v>2265</v>
      </c>
      <c r="B950" t="s">
        <v>497</v>
      </c>
      <c r="C950" t="str">
        <f>TEXT(Table1[[#This Row],[Order_Date]],"mmm")</f>
        <v>Mar</v>
      </c>
      <c r="D950">
        <f>YEAR(Table1[[#This Row],[Order_Date]])</f>
        <v>2025</v>
      </c>
      <c r="E950" t="s">
        <v>55</v>
      </c>
      <c r="F950" t="s">
        <v>188</v>
      </c>
      <c r="G950" t="s">
        <v>128</v>
      </c>
      <c r="H950" t="s">
        <v>2266</v>
      </c>
      <c r="I950" t="s">
        <v>82</v>
      </c>
      <c r="J950" t="s">
        <v>83</v>
      </c>
      <c r="K950">
        <v>12</v>
      </c>
      <c r="L950">
        <v>47347</v>
      </c>
      <c r="M950">
        <v>37486</v>
      </c>
      <c r="N950">
        <v>9861</v>
      </c>
      <c r="O950" s="6">
        <f>Table1[[#This Row],[Profit]]/Table1[[#This Row],[Sales_Amount]]</f>
        <v>0.20827085137389909</v>
      </c>
      <c r="P950" t="s">
        <v>52</v>
      </c>
    </row>
    <row r="951" spans="1:16" x14ac:dyDescent="0.35">
      <c r="A951" t="s">
        <v>2267</v>
      </c>
      <c r="B951" t="s">
        <v>1133</v>
      </c>
      <c r="C951" t="str">
        <f>TEXT(Table1[[#This Row],[Order_Date]],"mmm")</f>
        <v>Jan</v>
      </c>
      <c r="D951">
        <f>YEAR(Table1[[#This Row],[Order_Date]])</f>
        <v>2025</v>
      </c>
      <c r="E951" t="s">
        <v>63</v>
      </c>
      <c r="F951" t="s">
        <v>64</v>
      </c>
      <c r="G951" t="s">
        <v>138</v>
      </c>
      <c r="H951" t="s">
        <v>990</v>
      </c>
      <c r="I951" t="s">
        <v>156</v>
      </c>
      <c r="J951" t="s">
        <v>157</v>
      </c>
      <c r="K951">
        <v>19</v>
      </c>
      <c r="L951">
        <v>107512</v>
      </c>
      <c r="M951">
        <v>53864</v>
      </c>
      <c r="N951">
        <v>53648</v>
      </c>
      <c r="O951" s="6">
        <f>Table1[[#This Row],[Profit]]/Table1[[#This Row],[Sales_Amount]]</f>
        <v>0.49899546097179848</v>
      </c>
      <c r="P951" t="s">
        <v>98</v>
      </c>
    </row>
    <row r="952" spans="1:16" x14ac:dyDescent="0.35">
      <c r="A952" t="s">
        <v>2268</v>
      </c>
      <c r="B952" t="s">
        <v>736</v>
      </c>
      <c r="C952" t="str">
        <f>TEXT(Table1[[#This Row],[Order_Date]],"mmm")</f>
        <v>Jul</v>
      </c>
      <c r="D952">
        <f>YEAR(Table1[[#This Row],[Order_Date]])</f>
        <v>2025</v>
      </c>
      <c r="E952" t="s">
        <v>46</v>
      </c>
      <c r="F952" t="s">
        <v>47</v>
      </c>
      <c r="G952" t="s">
        <v>57</v>
      </c>
      <c r="H952" t="s">
        <v>2269</v>
      </c>
      <c r="I952" t="s">
        <v>125</v>
      </c>
      <c r="J952" t="s">
        <v>83</v>
      </c>
      <c r="K952">
        <v>25</v>
      </c>
      <c r="L952">
        <v>97767</v>
      </c>
      <c r="M952">
        <v>80267</v>
      </c>
      <c r="N952">
        <v>17500</v>
      </c>
      <c r="O952" s="6">
        <f>Table1[[#This Row],[Profit]]/Table1[[#This Row],[Sales_Amount]]</f>
        <v>0.17899700307874844</v>
      </c>
      <c r="P952" t="s">
        <v>52</v>
      </c>
    </row>
    <row r="953" spans="1:16" x14ac:dyDescent="0.35">
      <c r="A953" t="s">
        <v>2270</v>
      </c>
      <c r="B953" t="s">
        <v>490</v>
      </c>
      <c r="C953" t="str">
        <f>TEXT(Table1[[#This Row],[Order_Date]],"mmm")</f>
        <v>Oct</v>
      </c>
      <c r="D953">
        <f>YEAR(Table1[[#This Row],[Order_Date]])</f>
        <v>2025</v>
      </c>
      <c r="E953" t="s">
        <v>55</v>
      </c>
      <c r="F953" t="s">
        <v>56</v>
      </c>
      <c r="G953" t="s">
        <v>138</v>
      </c>
      <c r="H953" t="s">
        <v>2271</v>
      </c>
      <c r="I953" t="s">
        <v>156</v>
      </c>
      <c r="J953" t="s">
        <v>157</v>
      </c>
      <c r="K953">
        <v>14</v>
      </c>
      <c r="L953">
        <v>9193</v>
      </c>
      <c r="M953">
        <v>6684</v>
      </c>
      <c r="N953">
        <v>2509</v>
      </c>
      <c r="O953" s="6">
        <f>Table1[[#This Row],[Profit]]/Table1[[#This Row],[Sales_Amount]]</f>
        <v>0.27292505166974873</v>
      </c>
      <c r="P953" t="s">
        <v>60</v>
      </c>
    </row>
    <row r="954" spans="1:16" x14ac:dyDescent="0.35">
      <c r="A954" t="s">
        <v>2272</v>
      </c>
      <c r="B954" t="s">
        <v>751</v>
      </c>
      <c r="C954" t="str">
        <f>TEXT(Table1[[#This Row],[Order_Date]],"mmm")</f>
        <v>Jan</v>
      </c>
      <c r="D954">
        <f>YEAR(Table1[[#This Row],[Order_Date]])</f>
        <v>2025</v>
      </c>
      <c r="E954" t="s">
        <v>55</v>
      </c>
      <c r="F954" t="s">
        <v>188</v>
      </c>
      <c r="G954" t="s">
        <v>80</v>
      </c>
      <c r="H954" t="s">
        <v>2273</v>
      </c>
      <c r="I954" t="s">
        <v>59</v>
      </c>
      <c r="J954" t="s">
        <v>51</v>
      </c>
      <c r="K954">
        <v>5</v>
      </c>
      <c r="L954">
        <v>116720</v>
      </c>
      <c r="M954">
        <v>70683</v>
      </c>
      <c r="N954">
        <v>46037</v>
      </c>
      <c r="O954" s="6">
        <f>Table1[[#This Row],[Profit]]/Table1[[#This Row],[Sales_Amount]]</f>
        <v>0.39442254969156959</v>
      </c>
      <c r="P954" t="s">
        <v>121</v>
      </c>
    </row>
    <row r="955" spans="1:16" x14ac:dyDescent="0.35">
      <c r="A955" t="s">
        <v>44</v>
      </c>
      <c r="B955" t="s">
        <v>45</v>
      </c>
      <c r="C955" t="str">
        <f>TEXT(Table1[[#This Row],[Order_Date]],"mmm")</f>
        <v>Jul</v>
      </c>
      <c r="D955">
        <f>YEAR(Table1[[#This Row],[Order_Date]])</f>
        <v>2025</v>
      </c>
      <c r="E955" t="s">
        <v>46</v>
      </c>
      <c r="F955" t="s">
        <v>47</v>
      </c>
      <c r="G955" t="s">
        <v>48</v>
      </c>
      <c r="H955" t="s">
        <v>49</v>
      </c>
      <c r="I955" t="s">
        <v>50</v>
      </c>
      <c r="J955" t="s">
        <v>51</v>
      </c>
      <c r="K955">
        <v>18</v>
      </c>
      <c r="L955">
        <v>86384</v>
      </c>
      <c r="M955">
        <v>63380</v>
      </c>
      <c r="N955">
        <v>23004</v>
      </c>
      <c r="O955" s="6">
        <f>Table1[[#This Row],[Profit]]/Table1[[#This Row],[Sales_Amount]]</f>
        <v>0.26629931468790519</v>
      </c>
      <c r="P955" t="s">
        <v>52</v>
      </c>
    </row>
    <row r="956" spans="1:16" x14ac:dyDescent="0.35">
      <c r="A956" t="s">
        <v>53</v>
      </c>
      <c r="B956" t="s">
        <v>54</v>
      </c>
      <c r="C956" t="str">
        <f>TEXT(Table1[[#This Row],[Order_Date]],"mmm")</f>
        <v>Dec</v>
      </c>
      <c r="D956">
        <f>YEAR(Table1[[#This Row],[Order_Date]])</f>
        <v>2025</v>
      </c>
      <c r="E956" t="s">
        <v>55</v>
      </c>
      <c r="F956" t="s">
        <v>56</v>
      </c>
      <c r="G956" t="s">
        <v>57</v>
      </c>
      <c r="H956" t="s">
        <v>58</v>
      </c>
      <c r="I956" t="s">
        <v>59</v>
      </c>
      <c r="J956" t="s">
        <v>51</v>
      </c>
      <c r="K956">
        <v>20</v>
      </c>
      <c r="L956">
        <v>41990</v>
      </c>
      <c r="M956">
        <v>20198</v>
      </c>
      <c r="N956">
        <v>21792</v>
      </c>
      <c r="O956" s="6">
        <f>Table1[[#This Row],[Profit]]/Table1[[#This Row],[Sales_Amount]]</f>
        <v>0.51898070969278398</v>
      </c>
      <c r="P956" t="s">
        <v>60</v>
      </c>
    </row>
    <row r="957" spans="1:16" x14ac:dyDescent="0.35">
      <c r="A957" t="s">
        <v>61</v>
      </c>
      <c r="B957" t="s">
        <v>62</v>
      </c>
      <c r="C957" t="str">
        <f>TEXT(Table1[[#This Row],[Order_Date]],"mmm")</f>
        <v>Mar</v>
      </c>
      <c r="D957">
        <f>YEAR(Table1[[#This Row],[Order_Date]])</f>
        <v>2025</v>
      </c>
      <c r="E957" t="s">
        <v>63</v>
      </c>
      <c r="F957" t="s">
        <v>64</v>
      </c>
      <c r="G957" t="s">
        <v>65</v>
      </c>
      <c r="H957" t="s">
        <v>66</v>
      </c>
      <c r="I957" t="s">
        <v>67</v>
      </c>
      <c r="J957" t="s">
        <v>51</v>
      </c>
      <c r="K957">
        <v>23</v>
      </c>
      <c r="L957">
        <v>92549</v>
      </c>
      <c r="M957">
        <v>75570</v>
      </c>
      <c r="N957">
        <v>16979</v>
      </c>
      <c r="O957" s="6">
        <f>Table1[[#This Row],[Profit]]/Table1[[#This Row],[Sales_Amount]]</f>
        <v>0.18345957276685865</v>
      </c>
      <c r="P957" t="s">
        <v>52</v>
      </c>
    </row>
    <row r="958" spans="1:16" x14ac:dyDescent="0.35">
      <c r="A958" t="s">
        <v>68</v>
      </c>
      <c r="B958" t="s">
        <v>69</v>
      </c>
      <c r="C958" t="str">
        <f>TEXT(Table1[[#This Row],[Order_Date]],"mmm")</f>
        <v>Feb</v>
      </c>
      <c r="D958">
        <f>YEAR(Table1[[#This Row],[Order_Date]])</f>
        <v>2025</v>
      </c>
      <c r="E958" t="s">
        <v>55</v>
      </c>
      <c r="F958" t="s">
        <v>56</v>
      </c>
      <c r="G958" t="s">
        <v>70</v>
      </c>
      <c r="H958" t="s">
        <v>71</v>
      </c>
      <c r="I958" t="s">
        <v>50</v>
      </c>
      <c r="J958" t="s">
        <v>51</v>
      </c>
      <c r="K958">
        <v>21</v>
      </c>
      <c r="L958">
        <v>78579</v>
      </c>
      <c r="M958">
        <v>52104</v>
      </c>
      <c r="N958">
        <v>26475</v>
      </c>
      <c r="O958" s="6">
        <f>Table1[[#This Row],[Profit]]/Table1[[#This Row],[Sales_Amount]]</f>
        <v>0.3369220784178979</v>
      </c>
      <c r="P958" t="s">
        <v>52</v>
      </c>
    </row>
    <row r="959" spans="1:16" x14ac:dyDescent="0.35">
      <c r="A959" t="s">
        <v>72</v>
      </c>
      <c r="B959" t="s">
        <v>73</v>
      </c>
      <c r="C959" t="str">
        <f>TEXT(Table1[[#This Row],[Order_Date]],"mmm")</f>
        <v>Feb</v>
      </c>
      <c r="D959">
        <f>YEAR(Table1[[#This Row],[Order_Date]])</f>
        <v>2025</v>
      </c>
      <c r="E959" t="s">
        <v>46</v>
      </c>
      <c r="F959" t="s">
        <v>74</v>
      </c>
      <c r="G959" t="s">
        <v>70</v>
      </c>
      <c r="H959" t="s">
        <v>75</v>
      </c>
      <c r="I959" t="s">
        <v>76</v>
      </c>
      <c r="J959" t="s">
        <v>77</v>
      </c>
      <c r="K959">
        <v>5</v>
      </c>
      <c r="L959">
        <v>84740</v>
      </c>
      <c r="M959">
        <v>61171</v>
      </c>
      <c r="N959">
        <v>23569</v>
      </c>
      <c r="O959" s="6">
        <f>Table1[[#This Row],[Profit]]/Table1[[#This Row],[Sales_Amount]]</f>
        <v>0.27813311305168753</v>
      </c>
      <c r="P959" t="s">
        <v>60</v>
      </c>
    </row>
    <row r="960" spans="1:16" x14ac:dyDescent="0.35">
      <c r="A960" t="s">
        <v>78</v>
      </c>
      <c r="B960" t="s">
        <v>79</v>
      </c>
      <c r="C960" t="str">
        <f>TEXT(Table1[[#This Row],[Order_Date]],"mmm")</f>
        <v>May</v>
      </c>
      <c r="D960">
        <f>YEAR(Table1[[#This Row],[Order_Date]])</f>
        <v>2025</v>
      </c>
      <c r="E960" t="s">
        <v>46</v>
      </c>
      <c r="F960" t="s">
        <v>74</v>
      </c>
      <c r="G960" t="s">
        <v>80</v>
      </c>
      <c r="H960" t="s">
        <v>81</v>
      </c>
      <c r="I960" t="s">
        <v>82</v>
      </c>
      <c r="J960" t="s">
        <v>83</v>
      </c>
      <c r="K960">
        <v>16</v>
      </c>
      <c r="L960">
        <v>116539</v>
      </c>
      <c r="M960">
        <v>75378</v>
      </c>
      <c r="N960">
        <v>41161</v>
      </c>
      <c r="O960" s="6">
        <f>Table1[[#This Row],[Profit]]/Table1[[#This Row],[Sales_Amount]]</f>
        <v>0.35319506774556159</v>
      </c>
      <c r="P960" t="s">
        <v>52</v>
      </c>
    </row>
  </sheetData>
  <pageMargins left="0.75" right="0.75" top="1" bottom="1" header="0.5" footer="0.5"/>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Read_Me_First</vt:lpstr>
      <vt:lpstr>Sheet1</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vijaykg0118@gmail.com</cp:lastModifiedBy>
  <dcterms:created xsi:type="dcterms:W3CDTF">2026-05-28T04:49:16Z</dcterms:created>
  <dcterms:modified xsi:type="dcterms:W3CDTF">2026-06-11T08:51:50Z</dcterms:modified>
</cp:coreProperties>
</file>